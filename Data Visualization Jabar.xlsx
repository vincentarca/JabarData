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incentart/Downloads/"/>
    </mc:Choice>
  </mc:AlternateContent>
  <xr:revisionPtr revIDLastSave="0" documentId="8_{3D667A7C-30DD-E14E-B6D5-5B7DBDB8761C}" xr6:coauthVersionLast="47" xr6:coauthVersionMax="47" xr10:uidLastSave="{00000000-0000-0000-0000-000000000000}"/>
  <bookViews>
    <workbookView xWindow="1180" yWindow="1500" windowWidth="27240" windowHeight="14860" xr2:uid="{9F06B003-2BDE-1F4C-B036-294282921AA5}"/>
  </bookViews>
  <sheets>
    <sheet name="Sheet1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9" i="1" l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CR28" i="1"/>
  <c r="CQ28" i="1"/>
  <c r="CP28" i="1"/>
  <c r="CL28" i="1"/>
  <c r="BU28" i="1"/>
  <c r="AR28" i="1"/>
  <c r="AQ28" i="1"/>
  <c r="AP28" i="1"/>
  <c r="AL28" i="1"/>
  <c r="AK28" i="1"/>
  <c r="AJ28" i="1"/>
  <c r="AI28" i="1"/>
  <c r="AH28" i="1"/>
  <c r="AG28" i="1"/>
  <c r="AC28" i="1"/>
  <c r="CS28" i="1" s="1"/>
  <c r="AB28" i="1"/>
  <c r="AA28" i="1"/>
  <c r="Z28" i="1"/>
  <c r="Y28" i="1"/>
  <c r="X28" i="1"/>
  <c r="CN28" i="1" s="1"/>
  <c r="W28" i="1"/>
  <c r="CM28" i="1" s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CS27" i="1"/>
  <c r="CR27" i="1"/>
  <c r="CP27" i="1"/>
  <c r="CL27" i="1"/>
  <c r="BU27" i="1"/>
  <c r="AR27" i="1"/>
  <c r="AQ27" i="1"/>
  <c r="AP27" i="1"/>
  <c r="AN27" i="1"/>
  <c r="AL27" i="1"/>
  <c r="AK27" i="1"/>
  <c r="AJ27" i="1"/>
  <c r="AI27" i="1"/>
  <c r="AH27" i="1"/>
  <c r="AG27" i="1"/>
  <c r="AC27" i="1"/>
  <c r="AB27" i="1"/>
  <c r="AA27" i="1"/>
  <c r="Z27" i="1"/>
  <c r="Y27" i="1"/>
  <c r="CO27" i="1" s="1"/>
  <c r="X27" i="1"/>
  <c r="CN27" i="1" s="1"/>
  <c r="W27" i="1"/>
  <c r="CM27" i="1" s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CR26" i="1"/>
  <c r="CP26" i="1"/>
  <c r="CL26" i="1"/>
  <c r="BU26" i="1"/>
  <c r="AR26" i="1"/>
  <c r="AQ26" i="1"/>
  <c r="AP26" i="1"/>
  <c r="AL26" i="1"/>
  <c r="AK26" i="1"/>
  <c r="AJ26" i="1"/>
  <c r="AI26" i="1"/>
  <c r="AH26" i="1"/>
  <c r="AG26" i="1"/>
  <c r="AC26" i="1"/>
  <c r="CS26" i="1" s="1"/>
  <c r="AB26" i="1"/>
  <c r="AA26" i="1"/>
  <c r="Z26" i="1"/>
  <c r="Y26" i="1"/>
  <c r="CO26" i="1" s="1"/>
  <c r="X26" i="1"/>
  <c r="AN26" i="1" s="1"/>
  <c r="W26" i="1"/>
  <c r="CM26" i="1" s="1"/>
  <c r="V26" i="1"/>
  <c r="U26" i="1"/>
  <c r="AM26" i="1" s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CR25" i="1"/>
  <c r="CP25" i="1"/>
  <c r="CL25" i="1"/>
  <c r="BU25" i="1"/>
  <c r="AR25" i="1"/>
  <c r="AQ25" i="1"/>
  <c r="AP25" i="1"/>
  <c r="AL25" i="1"/>
  <c r="AK25" i="1"/>
  <c r="AJ25" i="1"/>
  <c r="AI25" i="1"/>
  <c r="AH25" i="1"/>
  <c r="AG25" i="1"/>
  <c r="AC25" i="1"/>
  <c r="CS25" i="1" s="1"/>
  <c r="AB25" i="1"/>
  <c r="AA25" i="1"/>
  <c r="Z25" i="1"/>
  <c r="Y25" i="1"/>
  <c r="CO25" i="1" s="1"/>
  <c r="X25" i="1"/>
  <c r="W25" i="1"/>
  <c r="CM25" i="1" s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CR24" i="1"/>
  <c r="CQ24" i="1"/>
  <c r="CL24" i="1"/>
  <c r="BU24" i="1"/>
  <c r="AR24" i="1"/>
  <c r="AQ24" i="1"/>
  <c r="AP24" i="1"/>
  <c r="AL24" i="1"/>
  <c r="AK24" i="1"/>
  <c r="AJ24" i="1"/>
  <c r="AI24" i="1"/>
  <c r="AH24" i="1"/>
  <c r="AG24" i="1"/>
  <c r="AC24" i="1"/>
  <c r="CS24" i="1" s="1"/>
  <c r="AB24" i="1"/>
  <c r="AA24" i="1"/>
  <c r="Z24" i="1"/>
  <c r="CP24" i="1" s="1"/>
  <c r="Y24" i="1"/>
  <c r="X24" i="1"/>
  <c r="CN24" i="1" s="1"/>
  <c r="W24" i="1"/>
  <c r="CM24" i="1" s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CS23" i="1"/>
  <c r="CR23" i="1"/>
  <c r="CP23" i="1"/>
  <c r="CL23" i="1"/>
  <c r="BU23" i="1"/>
  <c r="AR23" i="1"/>
  <c r="AQ23" i="1"/>
  <c r="AP23" i="1"/>
  <c r="AN23" i="1"/>
  <c r="AL23" i="1"/>
  <c r="AK23" i="1"/>
  <c r="AJ23" i="1"/>
  <c r="AI23" i="1"/>
  <c r="AH23" i="1"/>
  <c r="AG23" i="1"/>
  <c r="AC23" i="1"/>
  <c r="AB23" i="1"/>
  <c r="AA23" i="1"/>
  <c r="Z23" i="1"/>
  <c r="Y23" i="1"/>
  <c r="CO23" i="1" s="1"/>
  <c r="X23" i="1"/>
  <c r="CN23" i="1" s="1"/>
  <c r="W23" i="1"/>
  <c r="CM23" i="1" s="1"/>
  <c r="V23" i="1"/>
  <c r="U23" i="1"/>
  <c r="AM23" i="1" s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CR22" i="1"/>
  <c r="CP22" i="1"/>
  <c r="CL22" i="1"/>
  <c r="BU22" i="1"/>
  <c r="AR22" i="1"/>
  <c r="AQ22" i="1"/>
  <c r="AP22" i="1"/>
  <c r="AL22" i="1"/>
  <c r="AK22" i="1"/>
  <c r="AJ22" i="1"/>
  <c r="AI22" i="1"/>
  <c r="AH22" i="1"/>
  <c r="AG22" i="1"/>
  <c r="AC22" i="1"/>
  <c r="CS22" i="1" s="1"/>
  <c r="AB22" i="1"/>
  <c r="AA22" i="1"/>
  <c r="Z22" i="1"/>
  <c r="Y22" i="1"/>
  <c r="CO22" i="1" s="1"/>
  <c r="X22" i="1"/>
  <c r="AN22" i="1" s="1"/>
  <c r="W22" i="1"/>
  <c r="CM22" i="1" s="1"/>
  <c r="V22" i="1"/>
  <c r="U22" i="1"/>
  <c r="AM22" i="1" s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CR21" i="1"/>
  <c r="CP21" i="1"/>
  <c r="CL21" i="1"/>
  <c r="BU21" i="1"/>
  <c r="AR21" i="1"/>
  <c r="AQ21" i="1"/>
  <c r="AP21" i="1"/>
  <c r="CF21" i="1" s="1"/>
  <c r="AL21" i="1"/>
  <c r="CB21" i="1" s="1"/>
  <c r="AK21" i="1"/>
  <c r="AJ21" i="1"/>
  <c r="AI21" i="1"/>
  <c r="AH21" i="1"/>
  <c r="AG21" i="1"/>
  <c r="AC21" i="1"/>
  <c r="CS21" i="1" s="1"/>
  <c r="AB21" i="1"/>
  <c r="AA21" i="1"/>
  <c r="Z21" i="1"/>
  <c r="Y21" i="1"/>
  <c r="CO21" i="1" s="1"/>
  <c r="X21" i="1"/>
  <c r="AN21" i="1" s="1"/>
  <c r="W21" i="1"/>
  <c r="CM21" i="1" s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CS20" i="1"/>
  <c r="CR20" i="1"/>
  <c r="CN20" i="1"/>
  <c r="CK20" i="1"/>
  <c r="BU20" i="1"/>
  <c r="AR20" i="1"/>
  <c r="AQ20" i="1"/>
  <c r="AP20" i="1"/>
  <c r="AL20" i="1"/>
  <c r="AK20" i="1"/>
  <c r="AJ20" i="1"/>
  <c r="AI20" i="1"/>
  <c r="AH20" i="1"/>
  <c r="AG20" i="1"/>
  <c r="AC20" i="1"/>
  <c r="AB20" i="1"/>
  <c r="AA20" i="1"/>
  <c r="Z20" i="1"/>
  <c r="CP20" i="1" s="1"/>
  <c r="Y20" i="1"/>
  <c r="X20" i="1"/>
  <c r="W20" i="1"/>
  <c r="CM20" i="1" s="1"/>
  <c r="V20" i="1"/>
  <c r="CL20" i="1" s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CS19" i="1"/>
  <c r="CR19" i="1"/>
  <c r="CL19" i="1"/>
  <c r="BU19" i="1"/>
  <c r="AS19" i="1"/>
  <c r="AR19" i="1"/>
  <c r="AQ19" i="1"/>
  <c r="AP19" i="1"/>
  <c r="AL19" i="1"/>
  <c r="AK19" i="1"/>
  <c r="AJ19" i="1"/>
  <c r="AI19" i="1"/>
  <c r="AH19" i="1"/>
  <c r="AG19" i="1"/>
  <c r="AC19" i="1"/>
  <c r="AB19" i="1"/>
  <c r="AA19" i="1"/>
  <c r="Z19" i="1"/>
  <c r="CP19" i="1" s="1"/>
  <c r="Y19" i="1"/>
  <c r="X19" i="1"/>
  <c r="CN19" i="1" s="1"/>
  <c r="W19" i="1"/>
  <c r="CM19" i="1" s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CS18" i="1"/>
  <c r="CR18" i="1"/>
  <c r="CL18" i="1"/>
  <c r="BU18" i="1"/>
  <c r="AR18" i="1"/>
  <c r="CH18" i="1" s="1"/>
  <c r="AQ18" i="1"/>
  <c r="AP18" i="1"/>
  <c r="AL18" i="1"/>
  <c r="AK18" i="1"/>
  <c r="AJ18" i="1"/>
  <c r="AI18" i="1"/>
  <c r="AH18" i="1"/>
  <c r="AG18" i="1"/>
  <c r="AC18" i="1"/>
  <c r="AB18" i="1"/>
  <c r="AA18" i="1"/>
  <c r="CQ18" i="1" s="1"/>
  <c r="Z18" i="1"/>
  <c r="CP18" i="1" s="1"/>
  <c r="Y18" i="1"/>
  <c r="CO18" i="1" s="1"/>
  <c r="X18" i="1"/>
  <c r="W18" i="1"/>
  <c r="CM18" i="1" s="1"/>
  <c r="V18" i="1"/>
  <c r="U18" i="1"/>
  <c r="AM18" i="1" s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CS17" i="1"/>
  <c r="CQ17" i="1"/>
  <c r="CO17" i="1"/>
  <c r="CN17" i="1"/>
  <c r="CK17" i="1"/>
  <c r="BU17" i="1"/>
  <c r="AR17" i="1"/>
  <c r="AQ17" i="1"/>
  <c r="AP17" i="1"/>
  <c r="AL17" i="1"/>
  <c r="AK17" i="1"/>
  <c r="AJ17" i="1"/>
  <c r="AI17" i="1"/>
  <c r="AH17" i="1"/>
  <c r="AG17" i="1"/>
  <c r="AC17" i="1"/>
  <c r="AB17" i="1"/>
  <c r="CR17" i="1" s="1"/>
  <c r="AA17" i="1"/>
  <c r="AO17" i="1" s="1"/>
  <c r="Z17" i="1"/>
  <c r="CP17" i="1" s="1"/>
  <c r="Y17" i="1"/>
  <c r="AN17" i="1" s="1"/>
  <c r="X17" i="1"/>
  <c r="W17" i="1"/>
  <c r="CM17" i="1" s="1"/>
  <c r="V17" i="1"/>
  <c r="CL17" i="1" s="1"/>
  <c r="U17" i="1"/>
  <c r="T17" i="1"/>
  <c r="S17" i="1"/>
  <c r="R17" i="1"/>
  <c r="Q17" i="1"/>
  <c r="BG17" i="1" s="1"/>
  <c r="P17" i="1"/>
  <c r="O17" i="1"/>
  <c r="N17" i="1"/>
  <c r="M17" i="1"/>
  <c r="L17" i="1"/>
  <c r="K17" i="1"/>
  <c r="J17" i="1"/>
  <c r="I17" i="1"/>
  <c r="AY17" i="1" s="1"/>
  <c r="H17" i="1"/>
  <c r="G17" i="1"/>
  <c r="F17" i="1"/>
  <c r="E17" i="1"/>
  <c r="D17" i="1"/>
  <c r="C17" i="1"/>
  <c r="CP16" i="1"/>
  <c r="CO16" i="1"/>
  <c r="CN16" i="1"/>
  <c r="CM16" i="1"/>
  <c r="CB16" i="1"/>
  <c r="BU16" i="1"/>
  <c r="AU16" i="1"/>
  <c r="AR16" i="1"/>
  <c r="AQ16" i="1"/>
  <c r="AP16" i="1"/>
  <c r="AL16" i="1"/>
  <c r="CB15" i="1" s="1"/>
  <c r="AK16" i="1"/>
  <c r="AJ16" i="1"/>
  <c r="AI16" i="1"/>
  <c r="AH16" i="1"/>
  <c r="AG16" i="1"/>
  <c r="AC16" i="1"/>
  <c r="CS16" i="1" s="1"/>
  <c r="AB16" i="1"/>
  <c r="CR16" i="1" s="1"/>
  <c r="AA16" i="1"/>
  <c r="Z16" i="1"/>
  <c r="Y16" i="1"/>
  <c r="AN16" i="1" s="1"/>
  <c r="X16" i="1"/>
  <c r="W16" i="1"/>
  <c r="V16" i="1"/>
  <c r="CL16" i="1" s="1"/>
  <c r="U16" i="1"/>
  <c r="CK16" i="1" s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CP15" i="1"/>
  <c r="CN15" i="1"/>
  <c r="CM15" i="1"/>
  <c r="BU15" i="1"/>
  <c r="AR15" i="1"/>
  <c r="AQ15" i="1"/>
  <c r="AP15" i="1"/>
  <c r="AM15" i="1"/>
  <c r="AL15" i="1"/>
  <c r="AK15" i="1"/>
  <c r="AJ15" i="1"/>
  <c r="AI15" i="1"/>
  <c r="AH15" i="1"/>
  <c r="AG15" i="1"/>
  <c r="AC15" i="1"/>
  <c r="CS15" i="1" s="1"/>
  <c r="AB15" i="1"/>
  <c r="AA15" i="1"/>
  <c r="CQ15" i="1" s="1"/>
  <c r="Z15" i="1"/>
  <c r="Y15" i="1"/>
  <c r="CO15" i="1" s="1"/>
  <c r="X15" i="1"/>
  <c r="W15" i="1"/>
  <c r="V15" i="1"/>
  <c r="CL15" i="1" s="1"/>
  <c r="U15" i="1"/>
  <c r="CK15" i="1" s="1"/>
  <c r="T15" i="1"/>
  <c r="BJ15" i="1" s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CP14" i="1"/>
  <c r="CN14" i="1"/>
  <c r="CM14" i="1"/>
  <c r="CL14" i="1"/>
  <c r="CB14" i="1"/>
  <c r="BU14" i="1"/>
  <c r="AR14" i="1"/>
  <c r="AQ14" i="1"/>
  <c r="AP14" i="1"/>
  <c r="AM14" i="1"/>
  <c r="AL14" i="1"/>
  <c r="AK14" i="1"/>
  <c r="AJ14" i="1"/>
  <c r="AI14" i="1"/>
  <c r="AH14" i="1"/>
  <c r="AG14" i="1"/>
  <c r="AC14" i="1"/>
  <c r="CS14" i="1" s="1"/>
  <c r="AB14" i="1"/>
  <c r="CR14" i="1" s="1"/>
  <c r="AA14" i="1"/>
  <c r="CQ14" i="1" s="1"/>
  <c r="Z14" i="1"/>
  <c r="Y14" i="1"/>
  <c r="X14" i="1"/>
  <c r="W14" i="1"/>
  <c r="V14" i="1"/>
  <c r="U14" i="1"/>
  <c r="CK14" i="1" s="1"/>
  <c r="T14" i="1"/>
  <c r="S14" i="1"/>
  <c r="R14" i="1"/>
  <c r="Q14" i="1"/>
  <c r="P14" i="1"/>
  <c r="O14" i="1"/>
  <c r="N14" i="1"/>
  <c r="M14" i="1"/>
  <c r="L14" i="1"/>
  <c r="BB14" i="1" s="1"/>
  <c r="K14" i="1"/>
  <c r="J14" i="1"/>
  <c r="I14" i="1"/>
  <c r="H14" i="1"/>
  <c r="G14" i="1"/>
  <c r="F14" i="1"/>
  <c r="E14" i="1"/>
  <c r="D14" i="1"/>
  <c r="AT14" i="1" s="1"/>
  <c r="C14" i="1"/>
  <c r="CP13" i="1"/>
  <c r="CO13" i="1"/>
  <c r="CN13" i="1"/>
  <c r="BU13" i="1"/>
  <c r="AR13" i="1"/>
  <c r="AQ13" i="1"/>
  <c r="AP13" i="1"/>
  <c r="AN13" i="1"/>
  <c r="AM13" i="1"/>
  <c r="AL13" i="1"/>
  <c r="AK13" i="1"/>
  <c r="AJ13" i="1"/>
  <c r="AI13" i="1"/>
  <c r="AH13" i="1"/>
  <c r="AG13" i="1"/>
  <c r="AC13" i="1"/>
  <c r="CS13" i="1" s="1"/>
  <c r="AB13" i="1"/>
  <c r="AA13" i="1"/>
  <c r="CQ13" i="1" s="1"/>
  <c r="Z13" i="1"/>
  <c r="Y13" i="1"/>
  <c r="X13" i="1"/>
  <c r="W13" i="1"/>
  <c r="CM13" i="1" s="1"/>
  <c r="V13" i="1"/>
  <c r="CL13" i="1" s="1"/>
  <c r="U13" i="1"/>
  <c r="CK13" i="1" s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CQ12" i="1"/>
  <c r="CP12" i="1"/>
  <c r="CN12" i="1"/>
  <c r="CM12" i="1"/>
  <c r="CH12" i="1"/>
  <c r="CF12" i="1"/>
  <c r="BU12" i="1"/>
  <c r="AU12" i="1"/>
  <c r="AR12" i="1"/>
  <c r="AQ12" i="1"/>
  <c r="AP12" i="1"/>
  <c r="AO12" i="1"/>
  <c r="AL12" i="1"/>
  <c r="CB12" i="1" s="1"/>
  <c r="AK12" i="1"/>
  <c r="AJ12" i="1"/>
  <c r="AI12" i="1"/>
  <c r="AH12" i="1"/>
  <c r="AG12" i="1"/>
  <c r="AC12" i="1"/>
  <c r="CS12" i="1" s="1"/>
  <c r="AB12" i="1"/>
  <c r="CR12" i="1" s="1"/>
  <c r="AA12" i="1"/>
  <c r="Z12" i="1"/>
  <c r="Y12" i="1"/>
  <c r="X12" i="1"/>
  <c r="W12" i="1"/>
  <c r="V12" i="1"/>
  <c r="U12" i="1"/>
  <c r="CK12" i="1" s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CQ11" i="1"/>
  <c r="CP11" i="1"/>
  <c r="CN11" i="1"/>
  <c r="BU11" i="1"/>
  <c r="AR11" i="1"/>
  <c r="AQ11" i="1"/>
  <c r="AP11" i="1"/>
  <c r="AM11" i="1"/>
  <c r="AL11" i="1"/>
  <c r="CB11" i="1" s="1"/>
  <c r="AK11" i="1"/>
  <c r="AJ11" i="1"/>
  <c r="AI11" i="1"/>
  <c r="AH11" i="1"/>
  <c r="BX11" i="1" s="1"/>
  <c r="AG11" i="1"/>
  <c r="AC11" i="1"/>
  <c r="CS11" i="1" s="1"/>
  <c r="AB11" i="1"/>
  <c r="AO11" i="1" s="1"/>
  <c r="AA11" i="1"/>
  <c r="Z11" i="1"/>
  <c r="Y11" i="1"/>
  <c r="CO11" i="1" s="1"/>
  <c r="X11" i="1"/>
  <c r="W11" i="1"/>
  <c r="CM11" i="1" s="1"/>
  <c r="V11" i="1"/>
  <c r="CL11" i="1" s="1"/>
  <c r="U11" i="1"/>
  <c r="CK11" i="1" s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AW11" i="1" s="1"/>
  <c r="F11" i="1"/>
  <c r="E11" i="1"/>
  <c r="D11" i="1"/>
  <c r="C11" i="1"/>
  <c r="CQ10" i="1"/>
  <c r="CP10" i="1"/>
  <c r="CO10" i="1"/>
  <c r="BU10" i="1"/>
  <c r="AU10" i="1"/>
  <c r="AR10" i="1"/>
  <c r="AQ10" i="1"/>
  <c r="AP10" i="1"/>
  <c r="AN10" i="1"/>
  <c r="AL10" i="1"/>
  <c r="CB10" i="1" s="1"/>
  <c r="AK10" i="1"/>
  <c r="AJ10" i="1"/>
  <c r="AI10" i="1"/>
  <c r="AH10" i="1"/>
  <c r="AG10" i="1"/>
  <c r="AC10" i="1"/>
  <c r="CS10" i="1" s="1"/>
  <c r="AB10" i="1"/>
  <c r="AO10" i="1" s="1"/>
  <c r="AA10" i="1"/>
  <c r="Z10" i="1"/>
  <c r="Y10" i="1"/>
  <c r="X10" i="1"/>
  <c r="CN10" i="1" s="1"/>
  <c r="W10" i="1"/>
  <c r="V10" i="1"/>
  <c r="CL10" i="1" s="1"/>
  <c r="U10" i="1"/>
  <c r="CK10" i="1" s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CR9" i="1"/>
  <c r="CQ9" i="1"/>
  <c r="CP9" i="1"/>
  <c r="CO9" i="1"/>
  <c r="BU9" i="1"/>
  <c r="AR9" i="1"/>
  <c r="AQ9" i="1"/>
  <c r="AP9" i="1"/>
  <c r="AN9" i="1"/>
  <c r="AL9" i="1"/>
  <c r="CB9" i="1" s="1"/>
  <c r="AK9" i="1"/>
  <c r="AJ9" i="1"/>
  <c r="AI9" i="1"/>
  <c r="AH9" i="1"/>
  <c r="AG9" i="1"/>
  <c r="BW9" i="1" s="1"/>
  <c r="AC9" i="1"/>
  <c r="CS9" i="1" s="1"/>
  <c r="AB9" i="1"/>
  <c r="AA9" i="1"/>
  <c r="Z9" i="1"/>
  <c r="Y9" i="1"/>
  <c r="X9" i="1"/>
  <c r="CN9" i="1" s="1"/>
  <c r="W9" i="1"/>
  <c r="CM9" i="1" s="1"/>
  <c r="V9" i="1"/>
  <c r="CL9" i="1" s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CR8" i="1"/>
  <c r="CQ8" i="1"/>
  <c r="CN8" i="1"/>
  <c r="CM8" i="1"/>
  <c r="CF8" i="1"/>
  <c r="BU8" i="1"/>
  <c r="BC8" i="1"/>
  <c r="AS8" i="1"/>
  <c r="AR8" i="1"/>
  <c r="AQ8" i="1"/>
  <c r="AP8" i="1"/>
  <c r="AO8" i="1"/>
  <c r="AL8" i="1"/>
  <c r="CB8" i="1" s="1"/>
  <c r="AK8" i="1"/>
  <c r="AJ8" i="1"/>
  <c r="BZ8" i="1" s="1"/>
  <c r="AI8" i="1"/>
  <c r="AH8" i="1"/>
  <c r="AG8" i="1"/>
  <c r="AC8" i="1"/>
  <c r="CS8" i="1" s="1"/>
  <c r="AB8" i="1"/>
  <c r="AA8" i="1"/>
  <c r="Z8" i="1"/>
  <c r="CP8" i="1" s="1"/>
  <c r="Y8" i="1"/>
  <c r="X8" i="1"/>
  <c r="W8" i="1"/>
  <c r="V8" i="1"/>
  <c r="U8" i="1"/>
  <c r="CK8" i="1" s="1"/>
  <c r="T8" i="1"/>
  <c r="S8" i="1"/>
  <c r="R8" i="1"/>
  <c r="BH8" i="1" s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CS7" i="1"/>
  <c r="BS7" i="1" s="1"/>
  <c r="CQ7" i="1"/>
  <c r="CP7" i="1"/>
  <c r="CO7" i="1"/>
  <c r="CM7" i="1"/>
  <c r="BU7" i="1"/>
  <c r="BI7" i="1"/>
  <c r="BE7" i="1"/>
  <c r="BA7" i="1"/>
  <c r="AR7" i="1"/>
  <c r="AQ7" i="1"/>
  <c r="CG7" i="1" s="1"/>
  <c r="AP7" i="1"/>
  <c r="CF7" i="1" s="1"/>
  <c r="AM7" i="1"/>
  <c r="AL7" i="1"/>
  <c r="CB7" i="1" s="1"/>
  <c r="AK7" i="1"/>
  <c r="AJ7" i="1"/>
  <c r="AI7" i="1"/>
  <c r="BY7" i="1" s="1"/>
  <c r="AH7" i="1"/>
  <c r="AG7" i="1"/>
  <c r="AC7" i="1"/>
  <c r="AB7" i="1"/>
  <c r="AO7" i="1" s="1"/>
  <c r="AA7" i="1"/>
  <c r="Z7" i="1"/>
  <c r="Y7" i="1"/>
  <c r="X7" i="1"/>
  <c r="W7" i="1"/>
  <c r="V7" i="1"/>
  <c r="CL7" i="1" s="1"/>
  <c r="U7" i="1"/>
  <c r="CK7" i="1" s="1"/>
  <c r="T7" i="1"/>
  <c r="S7" i="1"/>
  <c r="R7" i="1"/>
  <c r="Q7" i="1"/>
  <c r="P7" i="1"/>
  <c r="O7" i="1"/>
  <c r="N7" i="1"/>
  <c r="M7" i="1"/>
  <c r="BC7" i="1" s="1"/>
  <c r="L7" i="1"/>
  <c r="K7" i="1"/>
  <c r="J7" i="1"/>
  <c r="I7" i="1"/>
  <c r="H7" i="1"/>
  <c r="G7" i="1"/>
  <c r="F7" i="1"/>
  <c r="E7" i="1"/>
  <c r="D7" i="1"/>
  <c r="C7" i="1"/>
  <c r="CR6" i="1"/>
  <c r="CQ6" i="1"/>
  <c r="CO6" i="1"/>
  <c r="CM6" i="1"/>
  <c r="CK6" i="1"/>
  <c r="CF6" i="1"/>
  <c r="BU6" i="1"/>
  <c r="BI6" i="1"/>
  <c r="BA6" i="1"/>
  <c r="AS6" i="1"/>
  <c r="AR6" i="1"/>
  <c r="CH6" i="1" s="1"/>
  <c r="AQ6" i="1"/>
  <c r="AP6" i="1"/>
  <c r="AL6" i="1"/>
  <c r="CB6" i="1" s="1"/>
  <c r="AK6" i="1"/>
  <c r="CA6" i="1" s="1"/>
  <c r="AJ6" i="1"/>
  <c r="AI6" i="1"/>
  <c r="AH6" i="1"/>
  <c r="AG6" i="1"/>
  <c r="BW6" i="1" s="1"/>
  <c r="AC6" i="1"/>
  <c r="CS6" i="1" s="1"/>
  <c r="AB6" i="1"/>
  <c r="AA6" i="1"/>
  <c r="Z6" i="1"/>
  <c r="CP6" i="1" s="1"/>
  <c r="Y6" i="1"/>
  <c r="X6" i="1"/>
  <c r="CN6" i="1" s="1"/>
  <c r="W6" i="1"/>
  <c r="V6" i="1"/>
  <c r="CL6" i="1" s="1"/>
  <c r="U6" i="1"/>
  <c r="T6" i="1"/>
  <c r="S6" i="1"/>
  <c r="R6" i="1"/>
  <c r="Q6" i="1"/>
  <c r="P6" i="1"/>
  <c r="BF6" i="1" s="1"/>
  <c r="O6" i="1"/>
  <c r="N6" i="1"/>
  <c r="M6" i="1"/>
  <c r="BC6" i="1" s="1"/>
  <c r="L6" i="1"/>
  <c r="K6" i="1"/>
  <c r="J6" i="1"/>
  <c r="I6" i="1"/>
  <c r="H6" i="1"/>
  <c r="AX6" i="1" s="1"/>
  <c r="G6" i="1"/>
  <c r="F6" i="1"/>
  <c r="E6" i="1"/>
  <c r="D6" i="1"/>
  <c r="C6" i="1"/>
  <c r="CS5" i="1"/>
  <c r="BS5" i="1" s="1"/>
  <c r="CQ5" i="1"/>
  <c r="CP5" i="1"/>
  <c r="BU5" i="1"/>
  <c r="BI5" i="1"/>
  <c r="BA5" i="1"/>
  <c r="AS5" i="1"/>
  <c r="AR5" i="1"/>
  <c r="CH5" i="1" s="1"/>
  <c r="AQ5" i="1"/>
  <c r="AP5" i="1"/>
  <c r="AM5" i="1"/>
  <c r="AL5" i="1"/>
  <c r="CB5" i="1" s="1"/>
  <c r="AK5" i="1"/>
  <c r="AJ5" i="1"/>
  <c r="BZ5" i="1" s="1"/>
  <c r="AI5" i="1"/>
  <c r="BY5" i="1" s="1"/>
  <c r="AH5" i="1"/>
  <c r="AG5" i="1"/>
  <c r="AC5" i="1"/>
  <c r="AB5" i="1"/>
  <c r="AA5" i="1"/>
  <c r="Z5" i="1"/>
  <c r="Y5" i="1"/>
  <c r="CO5" i="1" s="1"/>
  <c r="X5" i="1"/>
  <c r="AN5" i="1" s="1"/>
  <c r="W5" i="1"/>
  <c r="CM5" i="1" s="1"/>
  <c r="V5" i="1"/>
  <c r="CL5" i="1" s="1"/>
  <c r="U5" i="1"/>
  <c r="CK5" i="1" s="1"/>
  <c r="T5" i="1"/>
  <c r="S5" i="1"/>
  <c r="R5" i="1"/>
  <c r="BH5" i="1" s="1"/>
  <c r="Q5" i="1"/>
  <c r="BG5" i="1" s="1"/>
  <c r="P5" i="1"/>
  <c r="BF5" i="1" s="1"/>
  <c r="O5" i="1"/>
  <c r="N5" i="1"/>
  <c r="M5" i="1"/>
  <c r="L5" i="1"/>
  <c r="K5" i="1"/>
  <c r="J5" i="1"/>
  <c r="AZ5" i="1" s="1"/>
  <c r="I5" i="1"/>
  <c r="AY5" i="1" s="1"/>
  <c r="H5" i="1"/>
  <c r="AX5" i="1" s="1"/>
  <c r="G5" i="1"/>
  <c r="F5" i="1"/>
  <c r="E5" i="1"/>
  <c r="D5" i="1"/>
  <c r="C5" i="1"/>
  <c r="CS4" i="1"/>
  <c r="CR4" i="1"/>
  <c r="CQ4" i="1"/>
  <c r="CM4" i="1"/>
  <c r="BU4" i="1"/>
  <c r="BA4" i="1"/>
  <c r="AU4" i="1"/>
  <c r="AS4" i="1"/>
  <c r="AR4" i="1"/>
  <c r="CH4" i="1" s="1"/>
  <c r="AQ4" i="1"/>
  <c r="AP4" i="1"/>
  <c r="AM4" i="1"/>
  <c r="AL4" i="1"/>
  <c r="CB4" i="1" s="1"/>
  <c r="AK4" i="1"/>
  <c r="CA3" i="1" s="1"/>
  <c r="AJ4" i="1"/>
  <c r="AI4" i="1"/>
  <c r="AH4" i="1"/>
  <c r="AG4" i="1"/>
  <c r="AC4" i="1"/>
  <c r="AB4" i="1"/>
  <c r="AO4" i="1" s="1"/>
  <c r="AA4" i="1"/>
  <c r="Z4" i="1"/>
  <c r="CP4" i="1" s="1"/>
  <c r="Y4" i="1"/>
  <c r="CO4" i="1" s="1"/>
  <c r="X4" i="1"/>
  <c r="CN4" i="1" s="1"/>
  <c r="W4" i="1"/>
  <c r="V4" i="1"/>
  <c r="CL4" i="1" s="1"/>
  <c r="U4" i="1"/>
  <c r="CK4" i="1" s="1"/>
  <c r="T4" i="1"/>
  <c r="S4" i="1"/>
  <c r="R4" i="1"/>
  <c r="BH4" i="1" s="1"/>
  <c r="Q4" i="1"/>
  <c r="BG4" i="1" s="1"/>
  <c r="P4" i="1"/>
  <c r="O4" i="1"/>
  <c r="N4" i="1"/>
  <c r="BD4" i="1" s="1"/>
  <c r="M4" i="1"/>
  <c r="L4" i="1"/>
  <c r="K4" i="1"/>
  <c r="J4" i="1"/>
  <c r="AZ4" i="1" s="1"/>
  <c r="I4" i="1"/>
  <c r="H4" i="1"/>
  <c r="G4" i="1"/>
  <c r="F4" i="1"/>
  <c r="E4" i="1"/>
  <c r="D4" i="1"/>
  <c r="C4" i="1"/>
  <c r="CS3" i="1"/>
  <c r="BS2" i="1" s="1"/>
  <c r="CQ3" i="1"/>
  <c r="CO3" i="1"/>
  <c r="CN3" i="1"/>
  <c r="CM3" i="1"/>
  <c r="CH3" i="1"/>
  <c r="BZ3" i="1"/>
  <c r="BY3" i="1"/>
  <c r="BU3" i="1"/>
  <c r="BI3" i="1"/>
  <c r="BE3" i="1"/>
  <c r="BA3" i="1"/>
  <c r="AS3" i="1"/>
  <c r="AR3" i="1"/>
  <c r="AQ3" i="1"/>
  <c r="CG3" i="1" s="1"/>
  <c r="AP3" i="1"/>
  <c r="CF3" i="1" s="1"/>
  <c r="AN3" i="1"/>
  <c r="AM3" i="1"/>
  <c r="AL3" i="1"/>
  <c r="CB3" i="1" s="1"/>
  <c r="AK3" i="1"/>
  <c r="AJ3" i="1"/>
  <c r="AI3" i="1"/>
  <c r="AH3" i="1"/>
  <c r="BX3" i="1" s="1"/>
  <c r="AG3" i="1"/>
  <c r="BW3" i="1" s="1"/>
  <c r="AC3" i="1"/>
  <c r="AB3" i="1"/>
  <c r="CR3" i="1" s="1"/>
  <c r="AA3" i="1"/>
  <c r="Z3" i="1"/>
  <c r="CP3" i="1" s="1"/>
  <c r="Y3" i="1"/>
  <c r="X3" i="1"/>
  <c r="W3" i="1"/>
  <c r="V3" i="1"/>
  <c r="CL3" i="1" s="1"/>
  <c r="U3" i="1"/>
  <c r="CK3" i="1" s="1"/>
  <c r="T3" i="1"/>
  <c r="BJ3" i="1" s="1"/>
  <c r="S3" i="1"/>
  <c r="R3" i="1"/>
  <c r="BH3" i="1" s="1"/>
  <c r="Q3" i="1"/>
  <c r="P3" i="1"/>
  <c r="O3" i="1"/>
  <c r="N3" i="1"/>
  <c r="BD3" i="1" s="1"/>
  <c r="M3" i="1"/>
  <c r="BC3" i="1" s="1"/>
  <c r="L3" i="1"/>
  <c r="BB3" i="1" s="1"/>
  <c r="K3" i="1"/>
  <c r="J3" i="1"/>
  <c r="AZ3" i="1" s="1"/>
  <c r="I3" i="1"/>
  <c r="H3" i="1"/>
  <c r="G3" i="1"/>
  <c r="F3" i="1"/>
  <c r="E3" i="1"/>
  <c r="AU3" i="1" s="1"/>
  <c r="D3" i="1"/>
  <c r="AT3" i="1" s="1"/>
  <c r="C3" i="1"/>
  <c r="CS2" i="1"/>
  <c r="BS12" i="1" s="1"/>
  <c r="CQ2" i="1"/>
  <c r="CP2" i="1"/>
  <c r="BP11" i="1" s="1"/>
  <c r="CO2" i="1"/>
  <c r="CN2" i="1"/>
  <c r="CM2" i="1"/>
  <c r="CA2" i="1"/>
  <c r="BU2" i="1"/>
  <c r="BI2" i="1"/>
  <c r="BG2" i="1"/>
  <c r="BA2" i="1"/>
  <c r="AY2" i="1"/>
  <c r="AX2" i="1"/>
  <c r="AS2" i="1"/>
  <c r="AR2" i="1"/>
  <c r="CH24" i="1" s="1"/>
  <c r="AQ2" i="1"/>
  <c r="CG18" i="1" s="1"/>
  <c r="AP2" i="1"/>
  <c r="AO2" i="1"/>
  <c r="AL2" i="1"/>
  <c r="CB24" i="1" s="1"/>
  <c r="AK2" i="1"/>
  <c r="AJ2" i="1"/>
  <c r="BZ16" i="1" s="1"/>
  <c r="AI2" i="1"/>
  <c r="BY8" i="1" s="1"/>
  <c r="AH2" i="1"/>
  <c r="AG2" i="1"/>
  <c r="BW4" i="1" s="1"/>
  <c r="AC2" i="1"/>
  <c r="AB2" i="1"/>
  <c r="CR2" i="1" s="1"/>
  <c r="AA2" i="1"/>
  <c r="Z2" i="1"/>
  <c r="Y2" i="1"/>
  <c r="X2" i="1"/>
  <c r="AN2" i="1" s="1"/>
  <c r="W2" i="1"/>
  <c r="V2" i="1"/>
  <c r="CL2" i="1" s="1"/>
  <c r="U2" i="1"/>
  <c r="CK2" i="1" s="1"/>
  <c r="T2" i="1"/>
  <c r="S2" i="1"/>
  <c r="BI23" i="1" s="1"/>
  <c r="R2" i="1"/>
  <c r="Q2" i="1"/>
  <c r="P2" i="1"/>
  <c r="BF13" i="1" s="1"/>
  <c r="O2" i="1"/>
  <c r="N2" i="1"/>
  <c r="BD21" i="1" s="1"/>
  <c r="M2" i="1"/>
  <c r="BC14" i="1" s="1"/>
  <c r="L2" i="1"/>
  <c r="BB22" i="1" s="1"/>
  <c r="K2" i="1"/>
  <c r="J2" i="1"/>
  <c r="AZ10" i="1" s="1"/>
  <c r="I2" i="1"/>
  <c r="AY3" i="1" s="1"/>
  <c r="H2" i="1"/>
  <c r="G2" i="1"/>
  <c r="AW13" i="1" s="1"/>
  <c r="F2" i="1"/>
  <c r="AV7" i="1" s="1"/>
  <c r="E2" i="1"/>
  <c r="AU2" i="1" s="1"/>
  <c r="D2" i="1"/>
  <c r="C2" i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BP10" i="1" l="1"/>
  <c r="BK12" i="1"/>
  <c r="BP2" i="1"/>
  <c r="BP3" i="1"/>
  <c r="BP23" i="1"/>
  <c r="BP4" i="1"/>
  <c r="BP6" i="1"/>
  <c r="BY4" i="1"/>
  <c r="AZ8" i="1"/>
  <c r="AV9" i="1"/>
  <c r="BB15" i="1"/>
  <c r="BE20" i="1"/>
  <c r="BE19" i="1"/>
  <c r="BE16" i="1"/>
  <c r="BE8" i="1"/>
  <c r="AT11" i="1"/>
  <c r="AX28" i="1"/>
  <c r="AX24" i="1"/>
  <c r="AX23" i="1"/>
  <c r="AX14" i="1"/>
  <c r="AX17" i="1"/>
  <c r="AX26" i="1"/>
  <c r="AX16" i="1"/>
  <c r="AX19" i="1"/>
  <c r="AX12" i="1"/>
  <c r="AX27" i="1"/>
  <c r="AX10" i="1"/>
  <c r="AZ2" i="1"/>
  <c r="AX3" i="1"/>
  <c r="BG3" i="1"/>
  <c r="BB4" i="1"/>
  <c r="BJ4" i="1"/>
  <c r="AX4" i="1"/>
  <c r="BS4" i="1"/>
  <c r="CA5" i="1"/>
  <c r="AZ6" i="1"/>
  <c r="BH6" i="1"/>
  <c r="AW6" i="1"/>
  <c r="CH7" i="1"/>
  <c r="BF9" i="1"/>
  <c r="BY9" i="1"/>
  <c r="CA10" i="1"/>
  <c r="CF11" i="1"/>
  <c r="CR11" i="1"/>
  <c r="CA12" i="1"/>
  <c r="BE12" i="1"/>
  <c r="BE13" i="1"/>
  <c r="AY16" i="1"/>
  <c r="BG16" i="1"/>
  <c r="BE18" i="1"/>
  <c r="CF22" i="1"/>
  <c r="BY6" i="1"/>
  <c r="AO15" i="1"/>
  <c r="CR15" i="1"/>
  <c r="BR15" i="1" s="1"/>
  <c r="CF16" i="1"/>
  <c r="CF25" i="1"/>
  <c r="CF15" i="1"/>
  <c r="CF27" i="1"/>
  <c r="CF19" i="1"/>
  <c r="BJ11" i="1"/>
  <c r="BG24" i="1"/>
  <c r="BG18" i="1"/>
  <c r="BG7" i="1"/>
  <c r="BG10" i="1"/>
  <c r="BP27" i="1"/>
  <c r="BP26" i="1"/>
  <c r="BP25" i="1"/>
  <c r="BP16" i="1"/>
  <c r="BP9" i="1"/>
  <c r="BP7" i="1"/>
  <c r="BP22" i="1"/>
  <c r="BP21" i="1"/>
  <c r="BP13" i="1"/>
  <c r="CF4" i="1"/>
  <c r="AX7" i="1"/>
  <c r="BF7" i="1"/>
  <c r="CN7" i="1"/>
  <c r="BN7" i="1" s="1"/>
  <c r="AN7" i="1"/>
  <c r="AU7" i="1"/>
  <c r="BS8" i="1"/>
  <c r="BG9" i="1"/>
  <c r="BZ9" i="1"/>
  <c r="AU9" i="1"/>
  <c r="BE10" i="1"/>
  <c r="CG11" i="1"/>
  <c r="BF12" i="1"/>
  <c r="CH14" i="1"/>
  <c r="BE15" i="1"/>
  <c r="BX15" i="1"/>
  <c r="BP15" i="1"/>
  <c r="BR17" i="1"/>
  <c r="CF17" i="1"/>
  <c r="BF18" i="1"/>
  <c r="AY20" i="1"/>
  <c r="BG20" i="1"/>
  <c r="CH25" i="1"/>
  <c r="AV3" i="1"/>
  <c r="BY10" i="1"/>
  <c r="BX25" i="1"/>
  <c r="BX26" i="1"/>
  <c r="BX21" i="1"/>
  <c r="BX18" i="1"/>
  <c r="BX20" i="1"/>
  <c r="BX14" i="1"/>
  <c r="BX12" i="1"/>
  <c r="AT4" i="1"/>
  <c r="AK29" i="1"/>
  <c r="CA27" i="1"/>
  <c r="CA23" i="1"/>
  <c r="CA26" i="1"/>
  <c r="CA25" i="1"/>
  <c r="CA22" i="1"/>
  <c r="CA17" i="1"/>
  <c r="CA7" i="1"/>
  <c r="BC4" i="1"/>
  <c r="BJ5" i="1"/>
  <c r="CL8" i="1"/>
  <c r="AM8" i="1"/>
  <c r="BE11" i="1"/>
  <c r="CH11" i="1"/>
  <c r="BM12" i="1"/>
  <c r="BP12" i="1"/>
  <c r="BG13" i="1"/>
  <c r="BY14" i="1"/>
  <c r="BM14" i="1"/>
  <c r="AX15" i="1"/>
  <c r="CG17" i="1"/>
  <c r="BH20" i="1"/>
  <c r="BD28" i="1"/>
  <c r="BD24" i="1"/>
  <c r="BD27" i="1"/>
  <c r="BD23" i="1"/>
  <c r="BD26" i="1"/>
  <c r="BD19" i="1"/>
  <c r="BD25" i="1"/>
  <c r="BD22" i="1"/>
  <c r="BD18" i="1"/>
  <c r="BD5" i="1"/>
  <c r="BD16" i="1"/>
  <c r="BD14" i="1"/>
  <c r="BP8" i="1"/>
  <c r="BD9" i="1"/>
  <c r="BJ14" i="1"/>
  <c r="BH2" i="1"/>
  <c r="BF3" i="1"/>
  <c r="AV4" i="1"/>
  <c r="AV5" i="1"/>
  <c r="BD8" i="1"/>
  <c r="AW9" i="1"/>
  <c r="BX9" i="1"/>
  <c r="AV10" i="1"/>
  <c r="BG12" i="1"/>
  <c r="BZ12" i="1"/>
  <c r="AZ12" i="1"/>
  <c r="AV13" i="1"/>
  <c r="BW13" i="1"/>
  <c r="BC16" i="1"/>
  <c r="BG28" i="1"/>
  <c r="AO3" i="1"/>
  <c r="AY18" i="1"/>
  <c r="AY23" i="1"/>
  <c r="AY10" i="1"/>
  <c r="AY13" i="1"/>
  <c r="AY6" i="1"/>
  <c r="AJ29" i="1"/>
  <c r="BZ18" i="1"/>
  <c r="BZ24" i="1"/>
  <c r="BZ25" i="1"/>
  <c r="BZ17" i="1"/>
  <c r="BZ7" i="1"/>
  <c r="CH17" i="1"/>
  <c r="CH22" i="1"/>
  <c r="CH19" i="1"/>
  <c r="CH20" i="1"/>
  <c r="CH13" i="1"/>
  <c r="CH26" i="1"/>
  <c r="CH9" i="1"/>
  <c r="AZ27" i="1"/>
  <c r="AZ23" i="1"/>
  <c r="AZ26" i="1"/>
  <c r="AZ16" i="1"/>
  <c r="AZ25" i="1"/>
  <c r="AZ13" i="1"/>
  <c r="AZ15" i="1"/>
  <c r="AZ22" i="1"/>
  <c r="AZ14" i="1"/>
  <c r="AZ11" i="1"/>
  <c r="AZ21" i="1"/>
  <c r="AZ17" i="1"/>
  <c r="AZ9" i="1"/>
  <c r="BH14" i="1"/>
  <c r="BH23" i="1"/>
  <c r="BH22" i="1"/>
  <c r="BH21" i="1"/>
  <c r="BH17" i="1"/>
  <c r="BH27" i="1"/>
  <c r="BH16" i="1"/>
  <c r="BH26" i="1"/>
  <c r="BH15" i="1"/>
  <c r="BH13" i="1"/>
  <c r="BH11" i="1"/>
  <c r="BH7" i="1"/>
  <c r="BH25" i="1"/>
  <c r="BH10" i="1"/>
  <c r="BH12" i="1"/>
  <c r="BC2" i="1"/>
  <c r="BW2" i="1"/>
  <c r="CF2" i="1"/>
  <c r="BS3" i="1"/>
  <c r="CG4" i="1"/>
  <c r="AT5" i="1"/>
  <c r="BB5" i="1"/>
  <c r="AO5" i="1"/>
  <c r="CE10" i="1" s="1"/>
  <c r="CR5" i="1"/>
  <c r="BR2" i="1" s="1"/>
  <c r="CF5" i="1"/>
  <c r="AN6" i="1"/>
  <c r="AY7" i="1"/>
  <c r="AV8" i="1"/>
  <c r="BW8" i="1"/>
  <c r="CA9" i="1"/>
  <c r="AX9" i="1"/>
  <c r="BF10" i="1"/>
  <c r="CH10" i="1"/>
  <c r="BM11" i="1"/>
  <c r="BD2" i="1"/>
  <c r="BX2" i="1"/>
  <c r="CG2" i="1"/>
  <c r="AW4" i="1"/>
  <c r="AU5" i="1"/>
  <c r="BC5" i="1"/>
  <c r="AU6" i="1"/>
  <c r="AM6" i="1"/>
  <c r="BS6" i="1"/>
  <c r="AO6" i="1"/>
  <c r="AZ7" i="1"/>
  <c r="AW8" i="1"/>
  <c r="BX8" i="1"/>
  <c r="CH8" i="1"/>
  <c r="AY9" i="1"/>
  <c r="CF9" i="1"/>
  <c r="BC10" i="1"/>
  <c r="CF10" i="1"/>
  <c r="AX11" i="1"/>
  <c r="BF11" i="1"/>
  <c r="BY11" i="1"/>
  <c r="BC12" i="1"/>
  <c r="AX13" i="1"/>
  <c r="BZ14" i="1"/>
  <c r="BH18" i="1"/>
  <c r="BP18" i="1"/>
  <c r="CA18" i="1"/>
  <c r="BX19" i="1"/>
  <c r="BG21" i="1"/>
  <c r="BZ21" i="1"/>
  <c r="BM18" i="1"/>
  <c r="BM19" i="1"/>
  <c r="BM20" i="1"/>
  <c r="BP5" i="1"/>
  <c r="AT15" i="1"/>
  <c r="AW18" i="1"/>
  <c r="AW19" i="1"/>
  <c r="AW20" i="1"/>
  <c r="AW15" i="1"/>
  <c r="AW12" i="1"/>
  <c r="AW7" i="1"/>
  <c r="AW3" i="1"/>
  <c r="CA4" i="1"/>
  <c r="BB11" i="1"/>
  <c r="CG25" i="1"/>
  <c r="CG21" i="1"/>
  <c r="CG28" i="1"/>
  <c r="CG24" i="1"/>
  <c r="CG27" i="1"/>
  <c r="CG8" i="1"/>
  <c r="CG23" i="1"/>
  <c r="CG20" i="1"/>
  <c r="CG19" i="1"/>
  <c r="AT27" i="1"/>
  <c r="AT26" i="1"/>
  <c r="AT2" i="1"/>
  <c r="AT23" i="1"/>
  <c r="AT22" i="1"/>
  <c r="AT24" i="1"/>
  <c r="AT21" i="1"/>
  <c r="AT16" i="1"/>
  <c r="AT28" i="1"/>
  <c r="AT18" i="1"/>
  <c r="AT20" i="1"/>
  <c r="AT25" i="1"/>
  <c r="BE2" i="1"/>
  <c r="BS15" i="1"/>
  <c r="BS11" i="1"/>
  <c r="BS10" i="1"/>
  <c r="BF4" i="1"/>
  <c r="CN5" i="1"/>
  <c r="BN16" i="1" s="1"/>
  <c r="BX7" i="1"/>
  <c r="BE9" i="1"/>
  <c r="CG9" i="1"/>
  <c r="BD10" i="1"/>
  <c r="BW10" i="1"/>
  <c r="CG10" i="1"/>
  <c r="BZ11" i="1"/>
  <c r="BC11" i="1"/>
  <c r="AV12" i="1"/>
  <c r="BD12" i="1"/>
  <c r="CL12" i="1"/>
  <c r="BL12" i="1" s="1"/>
  <c r="AM12" i="1"/>
  <c r="BW12" i="1"/>
  <c r="BS16" i="1"/>
  <c r="BM16" i="1"/>
  <c r="BE17" i="1"/>
  <c r="AT19" i="1"/>
  <c r="CF20" i="1"/>
  <c r="CA21" i="1"/>
  <c r="AX22" i="1"/>
  <c r="BY22" i="1"/>
  <c r="BS23" i="1"/>
  <c r="AZ24" i="1"/>
  <c r="BH24" i="1"/>
  <c r="BP24" i="1"/>
  <c r="CA24" i="1"/>
  <c r="AV27" i="1"/>
  <c r="AV23" i="1"/>
  <c r="AV26" i="1"/>
  <c r="AV22" i="1"/>
  <c r="AV25" i="1"/>
  <c r="AV24" i="1"/>
  <c r="AV21" i="1"/>
  <c r="AV28" i="1"/>
  <c r="AV18" i="1"/>
  <c r="AV14" i="1"/>
  <c r="AV20" i="1"/>
  <c r="AV11" i="1"/>
  <c r="AV15" i="1"/>
  <c r="AV19" i="1"/>
  <c r="BW19" i="1"/>
  <c r="BW11" i="1"/>
  <c r="BW20" i="1"/>
  <c r="BW14" i="1"/>
  <c r="CA8" i="1"/>
  <c r="BS13" i="1"/>
  <c r="BP19" i="1"/>
  <c r="BK6" i="1"/>
  <c r="BW7" i="1"/>
  <c r="BZ10" i="1"/>
  <c r="BX10" i="1"/>
  <c r="AY12" i="1"/>
  <c r="CO12" i="1"/>
  <c r="AN12" i="1"/>
  <c r="BJ20" i="1"/>
  <c r="BF27" i="1"/>
  <c r="BF26" i="1"/>
  <c r="BF28" i="1"/>
  <c r="BF23" i="1"/>
  <c r="BF22" i="1"/>
  <c r="BF17" i="1"/>
  <c r="BF16" i="1"/>
  <c r="BF24" i="1"/>
  <c r="BF20" i="1"/>
  <c r="BF15" i="1"/>
  <c r="BF19" i="1"/>
  <c r="BF14" i="1"/>
  <c r="BF8" i="1"/>
  <c r="AI29" i="1"/>
  <c r="BY28" i="1"/>
  <c r="BY24" i="1"/>
  <c r="BY27" i="1"/>
  <c r="BY17" i="1"/>
  <c r="BY26" i="1"/>
  <c r="BY23" i="1"/>
  <c r="BY19" i="1"/>
  <c r="BY20" i="1"/>
  <c r="BB18" i="1"/>
  <c r="BB28" i="1"/>
  <c r="BB27" i="1"/>
  <c r="BB26" i="1"/>
  <c r="BB24" i="1"/>
  <c r="BB2" i="1"/>
  <c r="BB19" i="1"/>
  <c r="BB25" i="1"/>
  <c r="BB20" i="1"/>
  <c r="BB23" i="1"/>
  <c r="BB21" i="1"/>
  <c r="BB17" i="1"/>
  <c r="BJ19" i="1"/>
  <c r="BJ28" i="1"/>
  <c r="BJ27" i="1"/>
  <c r="BJ26" i="1"/>
  <c r="BJ25" i="1"/>
  <c r="BJ23" i="1"/>
  <c r="BJ2" i="1"/>
  <c r="BJ22" i="1"/>
  <c r="BJ21" i="1"/>
  <c r="BJ24" i="1"/>
  <c r="BJ18" i="1"/>
  <c r="BJ16" i="1"/>
  <c r="AM2" i="1"/>
  <c r="CC11" i="1" s="1"/>
  <c r="AV2" i="1"/>
  <c r="BY2" i="1"/>
  <c r="CH2" i="1"/>
  <c r="BE4" i="1"/>
  <c r="CG5" i="1"/>
  <c r="BE5" i="1"/>
  <c r="AV6" i="1"/>
  <c r="BD6" i="1"/>
  <c r="BZ6" i="1"/>
  <c r="AU11" i="1"/>
  <c r="AU8" i="1"/>
  <c r="AW2" i="1"/>
  <c r="BF2" i="1"/>
  <c r="BZ2" i="1"/>
  <c r="AY4" i="1"/>
  <c r="BZ4" i="1"/>
  <c r="BX4" i="1"/>
  <c r="AW5" i="1"/>
  <c r="BM5" i="1"/>
  <c r="BX5" i="1"/>
  <c r="BW5" i="1"/>
  <c r="BE6" i="1"/>
  <c r="BX6" i="1"/>
  <c r="CG6" i="1"/>
  <c r="BG6" i="1"/>
  <c r="AT7" i="1"/>
  <c r="BB7" i="1"/>
  <c r="BJ7" i="1"/>
  <c r="BD7" i="1"/>
  <c r="CR7" i="1"/>
  <c r="AY8" i="1"/>
  <c r="BG8" i="1"/>
  <c r="AN8" i="1"/>
  <c r="CO8" i="1"/>
  <c r="BO8" i="1" s="1"/>
  <c r="AX8" i="1"/>
  <c r="BC9" i="1"/>
  <c r="CK9" i="1"/>
  <c r="BK2" i="1" s="1"/>
  <c r="AM9" i="1"/>
  <c r="BS9" i="1"/>
  <c r="AO9" i="1"/>
  <c r="BH9" i="1"/>
  <c r="AW10" i="1"/>
  <c r="CM10" i="1"/>
  <c r="BM10" i="1" s="1"/>
  <c r="AM10" i="1"/>
  <c r="BD11" i="1"/>
  <c r="AT13" i="1"/>
  <c r="BB13" i="1"/>
  <c r="BJ13" i="1"/>
  <c r="CR13" i="1"/>
  <c r="AO13" i="1"/>
  <c r="BP17" i="1"/>
  <c r="BG19" i="1"/>
  <c r="BZ22" i="1"/>
  <c r="AT10" i="1"/>
  <c r="BB10" i="1"/>
  <c r="BJ10" i="1"/>
  <c r="AY11" i="1"/>
  <c r="BG11" i="1"/>
  <c r="AU13" i="1"/>
  <c r="BC13" i="1"/>
  <c r="AU14" i="1"/>
  <c r="BS14" i="1"/>
  <c r="CF14" i="1"/>
  <c r="AY15" i="1"/>
  <c r="BG15" i="1"/>
  <c r="BZ15" i="1"/>
  <c r="CH15" i="1"/>
  <c r="CA16" i="1"/>
  <c r="AV17" i="1"/>
  <c r="BD17" i="1"/>
  <c r="BL17" i="1"/>
  <c r="BW17" i="1"/>
  <c r="BA18" i="1"/>
  <c r="AY19" i="1"/>
  <c r="CO19" i="1"/>
  <c r="AN19" i="1"/>
  <c r="BZ19" i="1"/>
  <c r="BD20" i="1"/>
  <c r="AS21" i="1"/>
  <c r="BA21" i="1"/>
  <c r="BI21" i="1"/>
  <c r="AO21" i="1"/>
  <c r="CQ21" i="1"/>
  <c r="CF24" i="1"/>
  <c r="BP28" i="1"/>
  <c r="AT8" i="1"/>
  <c r="BB8" i="1"/>
  <c r="BJ8" i="1"/>
  <c r="CR10" i="1"/>
  <c r="CA11" i="1"/>
  <c r="AT12" i="1"/>
  <c r="BB12" i="1"/>
  <c r="BJ12" i="1"/>
  <c r="BD13" i="1"/>
  <c r="CG14" i="1"/>
  <c r="BP14" i="1"/>
  <c r="AS16" i="1"/>
  <c r="AS12" i="1"/>
  <c r="AS11" i="1"/>
  <c r="AS10" i="1"/>
  <c r="AS9" i="1"/>
  <c r="BA16" i="1"/>
  <c r="BA8" i="1"/>
  <c r="BA12" i="1"/>
  <c r="BA11" i="1"/>
  <c r="BA10" i="1"/>
  <c r="BA9" i="1"/>
  <c r="BI16" i="1"/>
  <c r="BI12" i="1"/>
  <c r="BI11" i="1"/>
  <c r="BI10" i="1"/>
  <c r="BI9" i="1"/>
  <c r="BI8" i="1"/>
  <c r="CQ16" i="1"/>
  <c r="BQ6" i="1" s="1"/>
  <c r="AO16" i="1"/>
  <c r="AW17" i="1"/>
  <c r="BM17" i="1"/>
  <c r="BX17" i="1"/>
  <c r="BS18" i="1"/>
  <c r="AZ19" i="1"/>
  <c r="BH19" i="1"/>
  <c r="CA19" i="1"/>
  <c r="AS22" i="1"/>
  <c r="BA22" i="1"/>
  <c r="BI22" i="1"/>
  <c r="CB22" i="1"/>
  <c r="CF23" i="1"/>
  <c r="CB23" i="1"/>
  <c r="AX25" i="1"/>
  <c r="BF25" i="1"/>
  <c r="AN25" i="1"/>
  <c r="CN25" i="1"/>
  <c r="BY25" i="1"/>
  <c r="BA26" i="1"/>
  <c r="AN4" i="1"/>
  <c r="CD21" i="1" s="1"/>
  <c r="BM13" i="1"/>
  <c r="BX13" i="1"/>
  <c r="CF13" i="1"/>
  <c r="AW14" i="1"/>
  <c r="BE14" i="1"/>
  <c r="BB16" i="1"/>
  <c r="BR16" i="1"/>
  <c r="CB17" i="1"/>
  <c r="BA19" i="1"/>
  <c r="BI19" i="1"/>
  <c r="CQ19" i="1"/>
  <c r="BQ18" i="1" s="1"/>
  <c r="AO19" i="1"/>
  <c r="CB19" i="1"/>
  <c r="BL19" i="1"/>
  <c r="AU21" i="1"/>
  <c r="BC21" i="1"/>
  <c r="AM21" i="1"/>
  <c r="CK21" i="1"/>
  <c r="BS21" i="1"/>
  <c r="CF26" i="1"/>
  <c r="AY27" i="1"/>
  <c r="BS28" i="1"/>
  <c r="CO20" i="1"/>
  <c r="AN20" i="1"/>
  <c r="BZ20" i="1"/>
  <c r="CH21" i="1"/>
  <c r="BX23" i="1"/>
  <c r="CH23" i="1"/>
  <c r="BX24" i="1"/>
  <c r="BR24" i="1"/>
  <c r="AN11" i="1"/>
  <c r="BZ13" i="1"/>
  <c r="AY14" i="1"/>
  <c r="BG14" i="1"/>
  <c r="AN14" i="1"/>
  <c r="CD14" i="1" s="1"/>
  <c r="CO14" i="1"/>
  <c r="AU15" i="1"/>
  <c r="BC15" i="1"/>
  <c r="AN15" i="1"/>
  <c r="AV16" i="1"/>
  <c r="BL16" i="1"/>
  <c r="BW16" i="1"/>
  <c r="CH16" i="1"/>
  <c r="CB18" i="1"/>
  <c r="BS19" i="1"/>
  <c r="AZ20" i="1"/>
  <c r="BP20" i="1"/>
  <c r="CA20" i="1"/>
  <c r="BK20" i="1"/>
  <c r="BL22" i="1"/>
  <c r="AS25" i="1"/>
  <c r="BI27" i="1"/>
  <c r="BX28" i="1"/>
  <c r="BI4" i="1"/>
  <c r="AT6" i="1"/>
  <c r="BB6" i="1"/>
  <c r="BJ6" i="1"/>
  <c r="AS7" i="1"/>
  <c r="AT9" i="1"/>
  <c r="BB9" i="1"/>
  <c r="BJ9" i="1"/>
  <c r="BY12" i="1"/>
  <c r="CG12" i="1"/>
  <c r="CB13" i="1"/>
  <c r="CA14" i="1"/>
  <c r="BD15" i="1"/>
  <c r="BW15" i="1"/>
  <c r="AW16" i="1"/>
  <c r="BX16" i="1"/>
  <c r="AS17" i="1"/>
  <c r="BI17" i="1"/>
  <c r="AX18" i="1"/>
  <c r="CN18" i="1"/>
  <c r="AN18" i="1"/>
  <c r="BY18" i="1"/>
  <c r="AS20" i="1"/>
  <c r="BA20" i="1"/>
  <c r="BI20" i="1"/>
  <c r="AO20" i="1"/>
  <c r="CQ20" i="1"/>
  <c r="CB20" i="1"/>
  <c r="AX21" i="1"/>
  <c r="BF21" i="1"/>
  <c r="BX22" i="1"/>
  <c r="BZ23" i="1"/>
  <c r="BA23" i="1"/>
  <c r="CB25" i="1"/>
  <c r="AM16" i="1"/>
  <c r="BS17" i="1"/>
  <c r="AZ18" i="1"/>
  <c r="AU22" i="1"/>
  <c r="BC22" i="1"/>
  <c r="BS22" i="1"/>
  <c r="CG22" i="1"/>
  <c r="AU23" i="1"/>
  <c r="BC23" i="1"/>
  <c r="AU24" i="1"/>
  <c r="BC24" i="1"/>
  <c r="AM24" i="1"/>
  <c r="CK24" i="1"/>
  <c r="BS24" i="1"/>
  <c r="AY25" i="1"/>
  <c r="BG25" i="1"/>
  <c r="AU26" i="1"/>
  <c r="BC26" i="1"/>
  <c r="BS26" i="1"/>
  <c r="CG26" i="1"/>
  <c r="BG27" i="1"/>
  <c r="BZ27" i="1"/>
  <c r="BL28" i="1"/>
  <c r="BY13" i="1"/>
  <c r="CG13" i="1"/>
  <c r="AS14" i="1"/>
  <c r="BA14" i="1"/>
  <c r="BI14" i="1"/>
  <c r="BY15" i="1"/>
  <c r="CG15" i="1"/>
  <c r="AS18" i="1"/>
  <c r="BI18" i="1"/>
  <c r="CK18" i="1"/>
  <c r="AU19" i="1"/>
  <c r="BC19" i="1"/>
  <c r="AM19" i="1"/>
  <c r="CK19" i="1"/>
  <c r="AW21" i="1"/>
  <c r="BE21" i="1"/>
  <c r="BM21" i="1"/>
  <c r="BW22" i="1"/>
  <c r="CK22" i="1"/>
  <c r="BK22" i="1" s="1"/>
  <c r="BW23" i="1"/>
  <c r="CK23" i="1"/>
  <c r="BW26" i="1"/>
  <c r="AY28" i="1"/>
  <c r="CO28" i="1"/>
  <c r="AN28" i="1"/>
  <c r="BZ28" i="1"/>
  <c r="BA17" i="1"/>
  <c r="BY21" i="1"/>
  <c r="CN21" i="1"/>
  <c r="AW22" i="1"/>
  <c r="BE22" i="1"/>
  <c r="BM22" i="1"/>
  <c r="AW23" i="1"/>
  <c r="BE23" i="1"/>
  <c r="BM23" i="1"/>
  <c r="AW24" i="1"/>
  <c r="BE24" i="1"/>
  <c r="BM24" i="1"/>
  <c r="BA25" i="1"/>
  <c r="BI25" i="1"/>
  <c r="AO25" i="1"/>
  <c r="CQ25" i="1"/>
  <c r="AW26" i="1"/>
  <c r="BE26" i="1"/>
  <c r="AS27" i="1"/>
  <c r="BA27" i="1"/>
  <c r="AO27" i="1"/>
  <c r="CQ27" i="1"/>
  <c r="CB27" i="1"/>
  <c r="BS27" i="1"/>
  <c r="AZ28" i="1"/>
  <c r="BH28" i="1"/>
  <c r="CA28" i="1"/>
  <c r="CA15" i="1"/>
  <c r="AT17" i="1"/>
  <c r="BJ17" i="1"/>
  <c r="BK17" i="1"/>
  <c r="AU18" i="1"/>
  <c r="BC18" i="1"/>
  <c r="AO18" i="1"/>
  <c r="AY21" i="1"/>
  <c r="CN22" i="1"/>
  <c r="AS28" i="1"/>
  <c r="BA28" i="1"/>
  <c r="BI28" i="1"/>
  <c r="CA13" i="1"/>
  <c r="AL29" i="1"/>
  <c r="CB2" i="1"/>
  <c r="AS13" i="1"/>
  <c r="BA13" i="1"/>
  <c r="BI13" i="1"/>
  <c r="AO14" i="1"/>
  <c r="AS15" i="1"/>
  <c r="BA15" i="1"/>
  <c r="BI15" i="1"/>
  <c r="BY16" i="1"/>
  <c r="CG16" i="1"/>
  <c r="AU17" i="1"/>
  <c r="BC17" i="1"/>
  <c r="AM17" i="1"/>
  <c r="BW18" i="1"/>
  <c r="CF18" i="1"/>
  <c r="AX20" i="1"/>
  <c r="BS20" i="1"/>
  <c r="AY22" i="1"/>
  <c r="BG22" i="1"/>
  <c r="BG23" i="1"/>
  <c r="AY24" i="1"/>
  <c r="CO24" i="1"/>
  <c r="AN24" i="1"/>
  <c r="AU25" i="1"/>
  <c r="BC25" i="1"/>
  <c r="AM25" i="1"/>
  <c r="CC25" i="1" s="1"/>
  <c r="CK25" i="1"/>
  <c r="BS25" i="1"/>
  <c r="AY26" i="1"/>
  <c r="BG26" i="1"/>
  <c r="BZ26" i="1"/>
  <c r="CF28" i="1"/>
  <c r="AO22" i="1"/>
  <c r="CE22" i="1" s="1"/>
  <c r="CQ22" i="1"/>
  <c r="AS23" i="1"/>
  <c r="AO23" i="1"/>
  <c r="CQ23" i="1"/>
  <c r="AS24" i="1"/>
  <c r="BA24" i="1"/>
  <c r="BI24" i="1"/>
  <c r="AO24" i="1"/>
  <c r="CE24" i="1" s="1"/>
  <c r="AW25" i="1"/>
  <c r="BE25" i="1"/>
  <c r="BM25" i="1"/>
  <c r="AS26" i="1"/>
  <c r="BI26" i="1"/>
  <c r="AO26" i="1"/>
  <c r="CQ26" i="1"/>
  <c r="BQ26" i="1" s="1"/>
  <c r="CB26" i="1"/>
  <c r="CK26" i="1"/>
  <c r="BX27" i="1"/>
  <c r="CH27" i="1"/>
  <c r="CH28" i="1"/>
  <c r="CB28" i="1"/>
  <c r="BM26" i="1"/>
  <c r="AU27" i="1"/>
  <c r="BC27" i="1"/>
  <c r="AM27" i="1"/>
  <c r="AO28" i="1"/>
  <c r="CN26" i="1"/>
  <c r="BW27" i="1"/>
  <c r="CK27" i="1"/>
  <c r="AW27" i="1"/>
  <c r="BE27" i="1"/>
  <c r="BM27" i="1"/>
  <c r="AU28" i="1"/>
  <c r="BC28" i="1"/>
  <c r="AM28" i="1"/>
  <c r="AU20" i="1"/>
  <c r="BC20" i="1"/>
  <c r="AM20" i="1"/>
  <c r="BW24" i="1"/>
  <c r="BW28" i="1"/>
  <c r="CK28" i="1"/>
  <c r="AW28" i="1"/>
  <c r="BE28" i="1"/>
  <c r="BM28" i="1"/>
  <c r="BW21" i="1"/>
  <c r="BW25" i="1"/>
  <c r="CD13" i="1" l="1"/>
  <c r="CC18" i="1"/>
  <c r="BR10" i="1"/>
  <c r="CD8" i="1"/>
  <c r="BR8" i="1"/>
  <c r="BK14" i="1"/>
  <c r="CD27" i="1"/>
  <c r="BK19" i="1"/>
  <c r="BN28" i="1"/>
  <c r="BO12" i="1"/>
  <c r="CC15" i="1"/>
  <c r="BL11" i="1"/>
  <c r="BK10" i="1"/>
  <c r="CE6" i="1"/>
  <c r="BL2" i="1"/>
  <c r="CE3" i="1"/>
  <c r="BL6" i="1"/>
  <c r="BL26" i="1"/>
  <c r="CC8" i="1"/>
  <c r="AO29" i="1"/>
  <c r="CD5" i="1"/>
  <c r="BK16" i="1"/>
  <c r="BO9" i="1"/>
  <c r="CD4" i="1"/>
  <c r="CD23" i="1"/>
  <c r="BQ10" i="1"/>
  <c r="CC4" i="1"/>
  <c r="CE26" i="1"/>
  <c r="BN21" i="1"/>
  <c r="BR21" i="1"/>
  <c r="BR13" i="1"/>
  <c r="CD17" i="1"/>
  <c r="BN14" i="1"/>
  <c r="BL7" i="1"/>
  <c r="BO16" i="1"/>
  <c r="CE15" i="1"/>
  <c r="BN9" i="1"/>
  <c r="CD3" i="1"/>
  <c r="CD2" i="1"/>
  <c r="BO3" i="1"/>
  <c r="BK27" i="1"/>
  <c r="BK23" i="1"/>
  <c r="CC23" i="1"/>
  <c r="CD18" i="1"/>
  <c r="BN27" i="1"/>
  <c r="BQ21" i="1"/>
  <c r="CD19" i="1"/>
  <c r="CE9" i="1"/>
  <c r="BN17" i="1"/>
  <c r="BO26" i="1"/>
  <c r="CD24" i="1"/>
  <c r="BQ15" i="1"/>
  <c r="CD26" i="1"/>
  <c r="BL25" i="1"/>
  <c r="BL18" i="1"/>
  <c r="CC19" i="1"/>
  <c r="BQ14" i="1"/>
  <c r="BN18" i="1"/>
  <c r="BL15" i="1"/>
  <c r="BL27" i="1"/>
  <c r="CD15" i="1"/>
  <c r="BO25" i="1"/>
  <c r="CE19" i="1"/>
  <c r="BL13" i="1"/>
  <c r="CE21" i="1"/>
  <c r="BO19" i="1"/>
  <c r="BN20" i="1"/>
  <c r="CC14" i="1"/>
  <c r="BN10" i="1"/>
  <c r="BO13" i="1"/>
  <c r="BO17" i="1"/>
  <c r="BQ11" i="1"/>
  <c r="BL8" i="1"/>
  <c r="BR22" i="1"/>
  <c r="CE8" i="1"/>
  <c r="BL5" i="1"/>
  <c r="BR14" i="1"/>
  <c r="AN29" i="1"/>
  <c r="BK11" i="1"/>
  <c r="BQ3" i="1"/>
  <c r="BO5" i="1"/>
  <c r="BQ5" i="1"/>
  <c r="CC20" i="1"/>
  <c r="BN26" i="1"/>
  <c r="BO24" i="1"/>
  <c r="BN22" i="1"/>
  <c r="CC9" i="1"/>
  <c r="BR7" i="1"/>
  <c r="BN11" i="1"/>
  <c r="BN15" i="1"/>
  <c r="CC6" i="1"/>
  <c r="BR4" i="1"/>
  <c r="BO18" i="1"/>
  <c r="BO7" i="1"/>
  <c r="BR11" i="1"/>
  <c r="BL3" i="1"/>
  <c r="BM8" i="1"/>
  <c r="CE4" i="1"/>
  <c r="BM3" i="1"/>
  <c r="AM29" i="1"/>
  <c r="CC5" i="1"/>
  <c r="CC2" i="1"/>
  <c r="CC13" i="1"/>
  <c r="CE5" i="1"/>
  <c r="BQ25" i="1"/>
  <c r="CC16" i="1"/>
  <c r="BK21" i="1"/>
  <c r="BN25" i="1"/>
  <c r="BR18" i="1"/>
  <c r="BO22" i="1"/>
  <c r="BK9" i="1"/>
  <c r="BO4" i="1"/>
  <c r="CD9" i="1"/>
  <c r="BN19" i="1"/>
  <c r="BL9" i="1"/>
  <c r="BQ4" i="1"/>
  <c r="CD6" i="1"/>
  <c r="BQ7" i="1"/>
  <c r="BL4" i="1"/>
  <c r="BN6" i="1"/>
  <c r="BQ17" i="1"/>
  <c r="CE12" i="1"/>
  <c r="BR19" i="1"/>
  <c r="BN12" i="1"/>
  <c r="BK8" i="1"/>
  <c r="CE2" i="1"/>
  <c r="BM7" i="1"/>
  <c r="BK3" i="1"/>
  <c r="CC3" i="1"/>
  <c r="BK4" i="1"/>
  <c r="BO21" i="1"/>
  <c r="BR23" i="1"/>
  <c r="BQ13" i="1"/>
  <c r="CC28" i="1"/>
  <c r="BO27" i="1"/>
  <c r="CD22" i="1"/>
  <c r="CE25" i="1"/>
  <c r="CE17" i="1"/>
  <c r="CD11" i="1"/>
  <c r="BK28" i="1"/>
  <c r="CC21" i="1"/>
  <c r="CD25" i="1"/>
  <c r="BR25" i="1"/>
  <c r="BO15" i="1"/>
  <c r="BQ2" i="1"/>
  <c r="BO11" i="1"/>
  <c r="BR12" i="1"/>
  <c r="CD16" i="1"/>
  <c r="BM6" i="1"/>
  <c r="BM4" i="1"/>
  <c r="CE11" i="1"/>
  <c r="BM2" i="1"/>
  <c r="BR3" i="1"/>
  <c r="BK5" i="1"/>
  <c r="BL14" i="1"/>
  <c r="CE18" i="1"/>
  <c r="CC26" i="1"/>
  <c r="CE13" i="1"/>
  <c r="BO2" i="1"/>
  <c r="CC12" i="1"/>
  <c r="BQ9" i="1"/>
  <c r="BQ28" i="1"/>
  <c r="CD12" i="1"/>
  <c r="BQ23" i="1"/>
  <c r="BQ20" i="1"/>
  <c r="BK15" i="1"/>
  <c r="BQ12" i="1"/>
  <c r="BQ19" i="1"/>
  <c r="CE28" i="1"/>
  <c r="CE23" i="1"/>
  <c r="BQ27" i="1"/>
  <c r="CE20" i="1"/>
  <c r="CC27" i="1"/>
  <c r="BK26" i="1"/>
  <c r="BO23" i="1"/>
  <c r="CC17" i="1"/>
  <c r="CE27" i="1"/>
  <c r="CD28" i="1"/>
  <c r="BL21" i="1"/>
  <c r="BK18" i="1"/>
  <c r="BK24" i="1"/>
  <c r="BN24" i="1"/>
  <c r="BR6" i="1"/>
  <c r="CD20" i="1"/>
  <c r="CE16" i="1"/>
  <c r="CC10" i="1"/>
  <c r="CC7" i="1"/>
  <c r="BN2" i="1"/>
  <c r="BN13" i="1"/>
  <c r="BN3" i="1"/>
  <c r="BN5" i="1"/>
  <c r="BL24" i="1"/>
  <c r="BQ22" i="1"/>
  <c r="BK25" i="1"/>
  <c r="CE14" i="1"/>
  <c r="BR20" i="1"/>
  <c r="BO28" i="1"/>
  <c r="CC24" i="1"/>
  <c r="CC22" i="1"/>
  <c r="BN23" i="1"/>
  <c r="BO14" i="1"/>
  <c r="BR26" i="1"/>
  <c r="BO20" i="1"/>
  <c r="BQ8" i="1"/>
  <c r="BQ16" i="1"/>
  <c r="BL20" i="1"/>
  <c r="CE7" i="1"/>
  <c r="BR27" i="1"/>
  <c r="BM9" i="1"/>
  <c r="BL23" i="1"/>
  <c r="BK7" i="1"/>
  <c r="BO10" i="1"/>
  <c r="BM15" i="1"/>
  <c r="BR5" i="1"/>
  <c r="BQ24" i="1"/>
  <c r="CD7" i="1"/>
  <c r="BR9" i="1"/>
  <c r="BO6" i="1"/>
  <c r="BN8" i="1"/>
  <c r="CD10" i="1"/>
  <c r="BL10" i="1"/>
  <c r="BK13" i="1"/>
  <c r="BN4" i="1"/>
  <c r="BR28" i="1"/>
</calcChain>
</file>

<file path=xl/sharedStrings.xml><?xml version="1.0" encoding="utf-8"?>
<sst xmlns="http://schemas.openxmlformats.org/spreadsheetml/2006/main" count="102" uniqueCount="102">
  <si>
    <t>NO</t>
  </si>
  <si>
    <t>Kab Kota</t>
  </si>
  <si>
    <t>Stunting2023</t>
  </si>
  <si>
    <t>Stunting2024</t>
  </si>
  <si>
    <t>Stunting2025</t>
  </si>
  <si>
    <t>Wasting2023</t>
  </si>
  <si>
    <t>Wasting2024</t>
  </si>
  <si>
    <t>Wasting2025</t>
  </si>
  <si>
    <t>IDL2023</t>
  </si>
  <si>
    <t>IDL2024</t>
  </si>
  <si>
    <t>IDL2025</t>
  </si>
  <si>
    <t>TalakGizi2023</t>
  </si>
  <si>
    <t>TalakGizi2024</t>
  </si>
  <si>
    <t>TalakGizi2025</t>
  </si>
  <si>
    <t>K6ANC2023</t>
  </si>
  <si>
    <t>K6ANC2024</t>
  </si>
  <si>
    <t>K6ANC2025</t>
  </si>
  <si>
    <t>PF2023</t>
  </si>
  <si>
    <t>PF2024</t>
  </si>
  <si>
    <t>PF2025</t>
  </si>
  <si>
    <t>HPAI2024</t>
  </si>
  <si>
    <t>HPAI2025</t>
  </si>
  <si>
    <t>HPAI2026</t>
  </si>
  <si>
    <t>LSD2024</t>
  </si>
  <si>
    <t>LSD2025</t>
  </si>
  <si>
    <t>LSD2026</t>
  </si>
  <si>
    <t>PMK2024</t>
  </si>
  <si>
    <t>PMK2025</t>
  </si>
  <si>
    <t>PMK2026</t>
  </si>
  <si>
    <t>Rabies2024</t>
  </si>
  <si>
    <t>Rabies2025</t>
  </si>
  <si>
    <t>Rabies2026</t>
  </si>
  <si>
    <t>VAR2024</t>
  </si>
  <si>
    <t>VAR2025</t>
  </si>
  <si>
    <t>DengueCase2023</t>
  </si>
  <si>
    <t>DengueCase2024</t>
  </si>
  <si>
    <t>IKP2023</t>
  </si>
  <si>
    <t>IRBI</t>
  </si>
  <si>
    <t>HPAITotal</t>
  </si>
  <si>
    <t>LSDTotal</t>
  </si>
  <si>
    <t>PMKTotal</t>
  </si>
  <si>
    <t>StuntingSSGI</t>
  </si>
  <si>
    <t>WastingSSGi</t>
  </si>
  <si>
    <t>RabiesTotal</t>
  </si>
  <si>
    <t>Index</t>
  </si>
  <si>
    <t>a_HPAI2024_z</t>
  </si>
  <si>
    <t>a_HPAI2025_z</t>
  </si>
  <si>
    <t>a_HPAI2026_z</t>
  </si>
  <si>
    <t>a_LSD2024_z</t>
  </si>
  <si>
    <t>a_LSD2025_z</t>
  </si>
  <si>
    <t>a_LSD2026_z</t>
  </si>
  <si>
    <t>a_PMK2024_z</t>
  </si>
  <si>
    <t>a_PMK2025_z</t>
  </si>
  <si>
    <t>a_PMK2026_z</t>
  </si>
  <si>
    <t>KAB BOGOR</t>
  </si>
  <si>
    <t>KAB SUKABUMI</t>
  </si>
  <si>
    <t>KAB CIANJUR</t>
  </si>
  <si>
    <t>KAB BANDUNG</t>
  </si>
  <si>
    <t>KAB GARUT</t>
  </si>
  <si>
    <t>KAB TASIKMALAYA</t>
  </si>
  <si>
    <t>KAB CIAMIS</t>
  </si>
  <si>
    <t>KAB KUNINGAN</t>
  </si>
  <si>
    <t>KAB CIREBON</t>
  </si>
  <si>
    <t>KAB MAJALENGKA</t>
  </si>
  <si>
    <t>KAB SUMEDANG</t>
  </si>
  <si>
    <t>KAB INDRAMAYU</t>
  </si>
  <si>
    <t>KAB SUBANG</t>
  </si>
  <si>
    <t>KAB PURWAKARTA</t>
  </si>
  <si>
    <t>KAB KARAWANG</t>
  </si>
  <si>
    <t>KAB BEKASI</t>
  </si>
  <si>
    <t>KAB BANDUNG BARAT</t>
  </si>
  <si>
    <t>KAB PANGANDARAN</t>
  </si>
  <si>
    <t>KOTA BOGOR</t>
  </si>
  <si>
    <t>KOTA SUKABUMI</t>
  </si>
  <si>
    <t>KOTA BANDUNG</t>
  </si>
  <si>
    <t>KOTA CIREBON</t>
  </si>
  <si>
    <t>KOTA BEKASI</t>
  </si>
  <si>
    <t>KOTA DEPOK</t>
  </si>
  <si>
    <t>KOTA CIMAHI</t>
  </si>
  <si>
    <t>KOTA TASIKMALAYA</t>
  </si>
  <si>
    <t>KOTA BANJAR</t>
  </si>
  <si>
    <t>JAWA BARAT</t>
  </si>
  <si>
    <t>StuntingYear</t>
  </si>
  <si>
    <t>Persentase stunting, data layanan Dinas Kesehatan</t>
  </si>
  <si>
    <t>WastingYear</t>
  </si>
  <si>
    <t>Persentase wasting + severe wasting, data layanan Dinas Kesehatan</t>
  </si>
  <si>
    <t>IDLYear</t>
  </si>
  <si>
    <t>Persentase cakupan imunisasi dasar lengkap, data layanan Dinas Kesehatan</t>
  </si>
  <si>
    <t>TalakGizi</t>
  </si>
  <si>
    <t>Persentase balita dengan gizi buruk mendapatkan tata laksana gizi buruk, data layanan Dinas Kesehatan</t>
  </si>
  <si>
    <t>K6ANCYear</t>
  </si>
  <si>
    <t>Persentase kunjungan k6 ante natal care, data layanan Dinas Kesehatan</t>
  </si>
  <si>
    <t>PFYear</t>
  </si>
  <si>
    <t>Persentase persalinan di fasilitas kesehatan, data layanan Dinas Kesehatan</t>
  </si>
  <si>
    <t>HPAIYear</t>
  </si>
  <si>
    <t>Angka kejadian highly-pathogenic avian influenza, DKPP</t>
  </si>
  <si>
    <t>LSDYear</t>
  </si>
  <si>
    <t>Angka kejadian lumpy skin disease, DKPP</t>
  </si>
  <si>
    <t>PMKYear</t>
  </si>
  <si>
    <t>Angka kejadian penyakit mulut dan kuku, DKPP</t>
  </si>
  <si>
    <t>RabiesYear</t>
  </si>
  <si>
    <t>Angka kejadian rabies, DKPP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</si>
</sst>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0.000000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sz val="10"/>
      <color rgb="FF393939"/>
      <name val="Open Sans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BC2E6"/>
        <bgColor rgb="FFADB9CA"/>
      </patternFill>
    </fill>
    <fill>
      <patternFill patternType="solid">
        <fgColor rgb="FF9BC2E6"/>
        <bgColor rgb="FF0000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14">
    <xf numFmtId="0" fontId="0" fillId="0" borderId="0" xfId="0"/>
    <xf numFmtId="0" fontId="3" fillId="2" borderId="2" xfId="0" applyFont="1" applyFill="1" applyBorder="1" applyAlignment="1">
      <alignment vertical="top"/>
    </xf>
    <xf numFmtId="0" fontId="2" fillId="0" borderId="2" xfId="0" applyFont="1" applyBorder="1"/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0" fontId="5" fillId="4" borderId="0" xfId="0" applyFont="1" applyFill="1"/>
    <xf numFmtId="0" fontId="2" fillId="0" borderId="0" xfId="0" applyFont="1"/>
    <xf numFmtId="0" fontId="5" fillId="0" borderId="0" xfId="0" applyFont="1"/>
    <xf numFmtId="0" fontId="5" fillId="0" borderId="2" xfId="0" applyFont="1" applyBorder="1" applyAlignment="1">
      <alignment horizontal="center"/>
    </xf>
    <xf numFmtId="1" fontId="2" fillId="0" borderId="0" xfId="1" applyNumberFormat="1" applyFont="1" applyFill="1" applyBorder="1"/>
    <xf numFmtId="1" fontId="2" fillId="0" borderId="0" xfId="0" applyNumberFormat="1" applyFont="1"/>
    <xf numFmtId="164" fontId="2" fillId="0" borderId="0" xfId="0" applyNumberFormat="1" applyFont="1"/>
    <xf numFmtId="0" fontId="5" fillId="0" borderId="2" xfId="0" applyFont="1" applyBorder="1"/>
    <xf numFmtId="0" fontId="2" fillId="0" borderId="2" xfId="0" applyFont="1" applyBorder="1" applyAlignment="1">
      <alignment horizontal="right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tglobal.sharepoint.com/sites/KITASEHAT/Activity/District%20Selection/Jawa%20Barat/New%20Jabar%20Quant%20Data.xlsx" TargetMode="External"/><Relationship Id="rId1" Type="http://schemas.openxmlformats.org/officeDocument/2006/relationships/externalLinkPath" Target="https://dtglobal.sharepoint.com/sites/KITASEHAT/Activity/District%20Selection/Jawa%20Barat/New%20Jabar%20Quant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atmap"/>
      <sheetName val="Compile"/>
      <sheetName val="IRBI"/>
      <sheetName val="Dengue2023"/>
      <sheetName val="StuntingSSGI"/>
      <sheetName val="Dengue2024"/>
      <sheetName val="Dengue2025"/>
      <sheetName val="GHPR2024"/>
      <sheetName val="GHPR2025"/>
      <sheetName val="1. persentasi stunting"/>
      <sheetName val="2.  WASTING DAN SEVERE W"/>
      <sheetName val="3. IMUNISASI DASAR LENGKAP"/>
      <sheetName val="4. GIZI BURUK"/>
      <sheetName val="5. KUNJUNGAN ANTENATAL K6"/>
      <sheetName val="6. PF"/>
      <sheetName val="Hewan"/>
      <sheetName val="PMK"/>
      <sheetName val="Rabies"/>
      <sheetName val="olah"/>
      <sheetName val="JABAR"/>
      <sheetName val="HPAI"/>
      <sheetName val="LSD"/>
      <sheetName val="Food"/>
    </sheetNames>
    <sheetDataSet>
      <sheetData sheetId="0"/>
      <sheetData sheetId="1"/>
      <sheetData sheetId="2">
        <row r="1">
          <cell r="E1" t="str">
            <v>nama_kabupaten_kota</v>
          </cell>
          <cell r="F1" t="str">
            <v>indeks_risiko_bencana</v>
          </cell>
        </row>
        <row r="2">
          <cell r="E2" t="str">
            <v>KAB BOGOR</v>
          </cell>
          <cell r="F2">
            <v>101.72</v>
          </cell>
        </row>
        <row r="3">
          <cell r="E3" t="str">
            <v>KAB SUKABUMI</v>
          </cell>
          <cell r="F3">
            <v>168.97</v>
          </cell>
        </row>
        <row r="4">
          <cell r="E4" t="str">
            <v>KAB CIANJUR</v>
          </cell>
          <cell r="F4">
            <v>165.17</v>
          </cell>
        </row>
        <row r="5">
          <cell r="E5" t="str">
            <v>KAB BANDUNG</v>
          </cell>
          <cell r="F5">
            <v>117.13</v>
          </cell>
        </row>
        <row r="6">
          <cell r="E6" t="str">
            <v>KAB GARUT</v>
          </cell>
          <cell r="F6">
            <v>134.75</v>
          </cell>
        </row>
        <row r="7">
          <cell r="E7" t="str">
            <v>KAB TASIKMALAYA</v>
          </cell>
          <cell r="F7">
            <v>145.5</v>
          </cell>
        </row>
        <row r="8">
          <cell r="E8" t="str">
            <v>KAB CIAMIS</v>
          </cell>
          <cell r="F8">
            <v>105.56</v>
          </cell>
        </row>
        <row r="9">
          <cell r="E9" t="str">
            <v>KAB KUNINGAN</v>
          </cell>
          <cell r="F9">
            <v>141.55000000000001</v>
          </cell>
        </row>
        <row r="10">
          <cell r="E10" t="str">
            <v>KAB CIREBON</v>
          </cell>
          <cell r="F10">
            <v>133.04</v>
          </cell>
        </row>
        <row r="11">
          <cell r="E11" t="str">
            <v>KAB MAJALENGKA</v>
          </cell>
          <cell r="F11">
            <v>108.99</v>
          </cell>
        </row>
        <row r="12">
          <cell r="E12" t="str">
            <v>KAB SUMEDANG</v>
          </cell>
          <cell r="F12">
            <v>127.24</v>
          </cell>
        </row>
        <row r="13">
          <cell r="E13" t="str">
            <v>KAB INDRAMAYU</v>
          </cell>
          <cell r="F13">
            <v>99.21</v>
          </cell>
        </row>
        <row r="14">
          <cell r="E14" t="str">
            <v>KAB SUBANG</v>
          </cell>
          <cell r="F14">
            <v>133.56</v>
          </cell>
        </row>
        <row r="15">
          <cell r="E15" t="str">
            <v>KAB PURWAKARTA</v>
          </cell>
          <cell r="F15">
            <v>107.01</v>
          </cell>
        </row>
        <row r="16">
          <cell r="E16" t="str">
            <v>KAB KARAWANG</v>
          </cell>
          <cell r="F16">
            <v>142.06</v>
          </cell>
        </row>
        <row r="17">
          <cell r="E17" t="str">
            <v>KAB BEKASI</v>
          </cell>
          <cell r="F17">
            <v>106.39</v>
          </cell>
        </row>
        <row r="18">
          <cell r="E18" t="str">
            <v>KAB BANDUNG BARAT</v>
          </cell>
          <cell r="F18">
            <v>108.28</v>
          </cell>
        </row>
        <row r="19">
          <cell r="E19" t="str">
            <v>KAB PANGANDARAN</v>
          </cell>
          <cell r="F19">
            <v>133.13</v>
          </cell>
        </row>
        <row r="20">
          <cell r="E20" t="str">
            <v>KOTA BOGOR</v>
          </cell>
          <cell r="F20">
            <v>58.03</v>
          </cell>
        </row>
        <row r="21">
          <cell r="E21" t="str">
            <v>KOTA SUKABUMI</v>
          </cell>
          <cell r="F21">
            <v>77.56</v>
          </cell>
        </row>
        <row r="22">
          <cell r="E22" t="str">
            <v>KOTA BANDUNG</v>
          </cell>
          <cell r="F22">
            <v>91.95</v>
          </cell>
        </row>
        <row r="23">
          <cell r="E23" t="str">
            <v>KOTA CIREBON</v>
          </cell>
          <cell r="F23">
            <v>112.32</v>
          </cell>
        </row>
        <row r="24">
          <cell r="E24" t="str">
            <v>KOTA BEKASI</v>
          </cell>
          <cell r="F24">
            <v>111.58</v>
          </cell>
        </row>
        <row r="25">
          <cell r="E25" t="str">
            <v>KOTA DEPOK</v>
          </cell>
          <cell r="F25">
            <v>72.28</v>
          </cell>
        </row>
        <row r="26">
          <cell r="E26" t="str">
            <v>KOTA CIMAHI</v>
          </cell>
          <cell r="F26">
            <v>65.77</v>
          </cell>
        </row>
        <row r="27">
          <cell r="E27" t="str">
            <v>KOTA TASIKMALAYA</v>
          </cell>
          <cell r="F27">
            <v>97.13</v>
          </cell>
        </row>
        <row r="28">
          <cell r="E28" t="str">
            <v>KOTA BANJAR</v>
          </cell>
          <cell r="F28">
            <v>116.26</v>
          </cell>
        </row>
      </sheetData>
      <sheetData sheetId="3">
        <row r="1">
          <cell r="B1" t="str">
            <v>KABUPATEN/KOTA</v>
          </cell>
          <cell r="C1" t="str">
            <v>JUMLAH KASUS (L)</v>
          </cell>
          <cell r="D1" t="str">
            <v>JUMLAH KASUS (P)</v>
          </cell>
          <cell r="E1" t="str">
            <v>JUMLAH KASUS (L+P)</v>
          </cell>
        </row>
        <row r="2">
          <cell r="B2" t="str">
            <v>KAB BOGOR</v>
          </cell>
          <cell r="C2">
            <v>945</v>
          </cell>
          <cell r="D2">
            <v>936</v>
          </cell>
          <cell r="E2">
            <v>1881</v>
          </cell>
        </row>
        <row r="3">
          <cell r="B3" t="str">
            <v>KAB SUKABUMI</v>
          </cell>
          <cell r="C3">
            <v>60</v>
          </cell>
          <cell r="D3">
            <v>53</v>
          </cell>
          <cell r="E3">
            <v>113</v>
          </cell>
        </row>
        <row r="4">
          <cell r="B4" t="str">
            <v>KAB CIANJUR</v>
          </cell>
          <cell r="C4">
            <v>397</v>
          </cell>
          <cell r="D4">
            <v>432</v>
          </cell>
          <cell r="E4">
            <v>829</v>
          </cell>
        </row>
        <row r="5">
          <cell r="B5" t="str">
            <v>KAB BANDUNG</v>
          </cell>
          <cell r="C5">
            <v>502</v>
          </cell>
          <cell r="D5">
            <v>503</v>
          </cell>
          <cell r="E5">
            <v>1005</v>
          </cell>
        </row>
        <row r="6">
          <cell r="B6" t="str">
            <v>KAB GARUT</v>
          </cell>
          <cell r="C6">
            <v>323</v>
          </cell>
          <cell r="D6">
            <v>407</v>
          </cell>
          <cell r="E6">
            <v>730</v>
          </cell>
        </row>
        <row r="7">
          <cell r="B7" t="str">
            <v>KAB TASIKMALAYA</v>
          </cell>
          <cell r="C7">
            <v>41</v>
          </cell>
          <cell r="D7">
            <v>47</v>
          </cell>
          <cell r="E7">
            <v>88</v>
          </cell>
        </row>
        <row r="8">
          <cell r="B8" t="str">
            <v>KAB CIAMIS</v>
          </cell>
          <cell r="C8">
            <v>112</v>
          </cell>
          <cell r="D8">
            <v>120</v>
          </cell>
          <cell r="E8">
            <v>232</v>
          </cell>
        </row>
        <row r="9">
          <cell r="B9" t="str">
            <v>KAB KUNINGAN</v>
          </cell>
          <cell r="C9">
            <v>357</v>
          </cell>
          <cell r="D9">
            <v>273</v>
          </cell>
          <cell r="E9">
            <v>630</v>
          </cell>
        </row>
        <row r="10">
          <cell r="B10" t="str">
            <v>KAB CIREBON</v>
          </cell>
          <cell r="C10">
            <v>400</v>
          </cell>
          <cell r="D10">
            <v>328</v>
          </cell>
          <cell r="E10">
            <v>728</v>
          </cell>
        </row>
        <row r="11">
          <cell r="B11" t="str">
            <v>KAB MAJALENGKA</v>
          </cell>
          <cell r="C11">
            <v>135</v>
          </cell>
          <cell r="D11">
            <v>118</v>
          </cell>
          <cell r="E11">
            <v>253</v>
          </cell>
        </row>
        <row r="12">
          <cell r="B12" t="str">
            <v>KAB SUMEDANG</v>
          </cell>
          <cell r="C12">
            <v>727</v>
          </cell>
          <cell r="D12">
            <v>581</v>
          </cell>
          <cell r="E12">
            <v>1308</v>
          </cell>
        </row>
        <row r="13">
          <cell r="B13" t="str">
            <v>KAB INDRAMAYU</v>
          </cell>
          <cell r="C13">
            <v>127</v>
          </cell>
          <cell r="D13">
            <v>91</v>
          </cell>
          <cell r="E13">
            <v>218</v>
          </cell>
        </row>
        <row r="14">
          <cell r="B14" t="str">
            <v>KAB SUBANG</v>
          </cell>
          <cell r="C14">
            <v>328</v>
          </cell>
          <cell r="D14">
            <v>290</v>
          </cell>
          <cell r="E14">
            <v>618</v>
          </cell>
        </row>
        <row r="15">
          <cell r="B15" t="str">
            <v>KAB PURWAKARTA</v>
          </cell>
          <cell r="C15">
            <v>204</v>
          </cell>
          <cell r="D15">
            <v>220</v>
          </cell>
          <cell r="E15">
            <v>424</v>
          </cell>
        </row>
        <row r="16">
          <cell r="B16" t="str">
            <v>KAB KARAWANG</v>
          </cell>
          <cell r="C16">
            <v>540</v>
          </cell>
          <cell r="D16">
            <v>451</v>
          </cell>
          <cell r="E16">
            <v>991</v>
          </cell>
        </row>
        <row r="17">
          <cell r="B17" t="str">
            <v>KAB BEKASI</v>
          </cell>
          <cell r="C17">
            <v>375</v>
          </cell>
          <cell r="D17">
            <v>351</v>
          </cell>
          <cell r="E17">
            <v>726</v>
          </cell>
        </row>
        <row r="18">
          <cell r="B18" t="str">
            <v>KAB BANDUNG BARAT</v>
          </cell>
          <cell r="C18">
            <v>665</v>
          </cell>
          <cell r="D18">
            <v>657</v>
          </cell>
          <cell r="E18">
            <v>1322</v>
          </cell>
        </row>
        <row r="19">
          <cell r="B19" t="str">
            <v>KAB PANGANDARAN</v>
          </cell>
          <cell r="C19">
            <v>128</v>
          </cell>
          <cell r="D19">
            <v>125</v>
          </cell>
          <cell r="E19">
            <v>253</v>
          </cell>
        </row>
        <row r="20">
          <cell r="B20" t="str">
            <v>KOTA BOGOR</v>
          </cell>
          <cell r="C20">
            <v>772</v>
          </cell>
          <cell r="D20">
            <v>702</v>
          </cell>
          <cell r="E20">
            <v>1474</v>
          </cell>
        </row>
        <row r="21">
          <cell r="B21" t="str">
            <v>KOTA SUKABUMI</v>
          </cell>
          <cell r="C21">
            <v>201</v>
          </cell>
          <cell r="D21">
            <v>214</v>
          </cell>
          <cell r="E21">
            <v>415</v>
          </cell>
        </row>
        <row r="22">
          <cell r="B22" t="str">
            <v>KOTA BANDUNG</v>
          </cell>
          <cell r="C22">
            <v>977</v>
          </cell>
          <cell r="D22">
            <v>879</v>
          </cell>
          <cell r="E22">
            <v>1856</v>
          </cell>
        </row>
        <row r="23">
          <cell r="B23" t="str">
            <v>KOTA CIREBON</v>
          </cell>
          <cell r="C23">
            <v>113</v>
          </cell>
          <cell r="D23">
            <v>114</v>
          </cell>
          <cell r="E23">
            <v>227</v>
          </cell>
        </row>
        <row r="24">
          <cell r="B24" t="str">
            <v>KOTA BEKASI</v>
          </cell>
          <cell r="C24">
            <v>639</v>
          </cell>
          <cell r="D24">
            <v>581</v>
          </cell>
          <cell r="E24">
            <v>1220</v>
          </cell>
        </row>
        <row r="25">
          <cell r="B25" t="str">
            <v>KOTA DEPOK</v>
          </cell>
          <cell r="C25">
            <v>603</v>
          </cell>
          <cell r="D25">
            <v>428</v>
          </cell>
          <cell r="E25">
            <v>1031</v>
          </cell>
        </row>
        <row r="26">
          <cell r="B26" t="str">
            <v>KOTA CIMAHI</v>
          </cell>
          <cell r="C26">
            <v>173</v>
          </cell>
          <cell r="D26">
            <v>177</v>
          </cell>
          <cell r="E26">
            <v>350</v>
          </cell>
        </row>
        <row r="27">
          <cell r="B27" t="str">
            <v>KOTA TASIKMALAYA</v>
          </cell>
          <cell r="C27">
            <v>179</v>
          </cell>
          <cell r="D27">
            <v>174</v>
          </cell>
          <cell r="E27">
            <v>353</v>
          </cell>
        </row>
        <row r="28">
          <cell r="B28" t="str">
            <v>KOTA BANJAR</v>
          </cell>
          <cell r="C28">
            <v>24</v>
          </cell>
          <cell r="D28">
            <v>29</v>
          </cell>
          <cell r="E28">
            <v>53</v>
          </cell>
        </row>
        <row r="29">
          <cell r="C29">
            <v>10047</v>
          </cell>
          <cell r="D29">
            <v>9281</v>
          </cell>
          <cell r="E29">
            <v>19328</v>
          </cell>
        </row>
        <row r="32">
          <cell r="C32">
            <v>10047</v>
          </cell>
          <cell r="D32">
            <v>9281</v>
          </cell>
        </row>
        <row r="33">
          <cell r="C33">
            <v>20.094000000000001</v>
          </cell>
          <cell r="D33">
            <v>18.562000000000001</v>
          </cell>
          <cell r="E33">
            <v>19.327999999999999</v>
          </cell>
        </row>
        <row r="34">
          <cell r="C34" t="str">
            <v>38,0</v>
          </cell>
        </row>
      </sheetData>
      <sheetData sheetId="4">
        <row r="1">
          <cell r="A1" t="str">
            <v>Tabel 4.14 Prevalensi Balita Provinsi Jawa Barat Bermasalah Gizi Berdasarkan Status Gizi
menurut Kabupaten/Kota</v>
          </cell>
        </row>
        <row r="4">
          <cell r="A4" t="str">
            <v>Kabupaten / Kota</v>
          </cell>
          <cell r="B4" t="str">
            <v>Status Gizi Balita</v>
          </cell>
        </row>
        <row r="5">
          <cell r="B5" t="str">
            <v>Stunting</v>
          </cell>
          <cell r="D5" t="str">
            <v>Underweight</v>
          </cell>
          <cell r="F5" t="str">
            <v>Severe Wasting</v>
          </cell>
          <cell r="H5" t="str">
            <v>Wasting</v>
          </cell>
          <cell r="J5" t="str">
            <v>Overweight</v>
          </cell>
        </row>
        <row r="6">
          <cell r="B6" t="str">
            <v>%</v>
          </cell>
          <cell r="C6" t="str">
            <v>95% CI</v>
          </cell>
          <cell r="D6" t="str">
            <v>%</v>
          </cell>
          <cell r="E6" t="str">
            <v>95% CI</v>
          </cell>
          <cell r="F6" t="str">
            <v>%</v>
          </cell>
          <cell r="G6" t="str">
            <v>95% CI</v>
          </cell>
          <cell r="H6" t="str">
            <v>%</v>
          </cell>
          <cell r="I6" t="str">
            <v>95% CI</v>
          </cell>
          <cell r="J6" t="str">
            <v>%</v>
          </cell>
          <cell r="K6" t="str">
            <v>95% CI</v>
          </cell>
          <cell r="L6" t="str">
            <v>Severe+wasting</v>
          </cell>
        </row>
        <row r="7">
          <cell r="A7" t="str">
            <v>Kab Bogor</v>
          </cell>
          <cell r="B7">
            <v>18.899999999999999</v>
          </cell>
          <cell r="C7" t="str">
            <v>10.2 - 27.6</v>
          </cell>
          <cell r="D7">
            <v>16.399999999999999</v>
          </cell>
          <cell r="E7" t="str">
            <v>10.0 - 22.9</v>
          </cell>
          <cell r="F7">
            <v>0.6</v>
          </cell>
          <cell r="G7" t="str">
            <v>0.0 - 2.2</v>
          </cell>
          <cell r="H7">
            <v>4.8</v>
          </cell>
          <cell r="I7" t="str">
            <v>2.8 - 6.7</v>
          </cell>
          <cell r="J7">
            <v>3.7</v>
          </cell>
          <cell r="K7" t="str">
            <v>2.2 - 5.2</v>
          </cell>
          <cell r="L7">
            <v>5.3999999999999995</v>
          </cell>
        </row>
        <row r="8">
          <cell r="A8" t="str">
            <v>Kab Sukabumi</v>
          </cell>
          <cell r="B8">
            <v>20.5</v>
          </cell>
          <cell r="C8" t="str">
            <v>16.5 - 25.3</v>
          </cell>
          <cell r="D8">
            <v>13.8</v>
          </cell>
          <cell r="E8" t="str">
            <v>10.7 - 17.5</v>
          </cell>
          <cell r="F8">
            <v>0.4</v>
          </cell>
          <cell r="G8" t="str">
            <v>0.1 - 1.3</v>
          </cell>
          <cell r="H8">
            <v>3.1</v>
          </cell>
          <cell r="I8" t="str">
            <v>2.0 - 4.6</v>
          </cell>
          <cell r="J8">
            <v>3.9</v>
          </cell>
          <cell r="K8" t="str">
            <v>2.6 - 5.8</v>
          </cell>
          <cell r="L8">
            <v>3.5</v>
          </cell>
        </row>
        <row r="9">
          <cell r="A9" t="str">
            <v>Kab Cianjur</v>
          </cell>
          <cell r="B9">
            <v>7.2</v>
          </cell>
          <cell r="C9" t="str">
            <v>5.4 - 9.7</v>
          </cell>
          <cell r="D9">
            <v>6</v>
          </cell>
          <cell r="E9" t="str">
            <v>4.3 - 8.2</v>
          </cell>
          <cell r="F9">
            <v>0.6</v>
          </cell>
          <cell r="G9" t="str">
            <v>0.2 - 1.8</v>
          </cell>
          <cell r="H9">
            <v>2.8</v>
          </cell>
          <cell r="I9" t="str">
            <v>1.8 - 4.4</v>
          </cell>
          <cell r="J9">
            <v>2</v>
          </cell>
          <cell r="K9" t="str">
            <v>1.2 - 3.4</v>
          </cell>
          <cell r="L9">
            <v>3.4</v>
          </cell>
        </row>
        <row r="10">
          <cell r="A10" t="str">
            <v>Kab Bandung</v>
          </cell>
          <cell r="B10">
            <v>24.1</v>
          </cell>
          <cell r="C10" t="str">
            <v>20.4 - 28.2</v>
          </cell>
          <cell r="D10">
            <v>12.4</v>
          </cell>
          <cell r="E10" t="str">
            <v>9.8 - 15.5</v>
          </cell>
          <cell r="F10">
            <v>0</v>
          </cell>
          <cell r="G10" t="str">
            <v>0.0 - 0.0</v>
          </cell>
          <cell r="H10">
            <v>2.2000000000000002</v>
          </cell>
          <cell r="I10" t="str">
            <v>1.3 - 3.9</v>
          </cell>
          <cell r="J10">
            <v>2.1</v>
          </cell>
          <cell r="K10" t="str">
            <v>1.2 - 3.7</v>
          </cell>
          <cell r="L10">
            <v>2.2000000000000002</v>
          </cell>
        </row>
        <row r="11">
          <cell r="A11" t="str">
            <v>Kab Garut</v>
          </cell>
          <cell r="B11">
            <v>14.2</v>
          </cell>
          <cell r="C11" t="str">
            <v>9.2 - 21.1</v>
          </cell>
          <cell r="D11">
            <v>11</v>
          </cell>
          <cell r="E11" t="str">
            <v>7.8 - 15.2</v>
          </cell>
          <cell r="F11">
            <v>0.3</v>
          </cell>
          <cell r="G11" t="str">
            <v>0.1 - 0.9</v>
          </cell>
          <cell r="H11">
            <v>2.5</v>
          </cell>
          <cell r="I11" t="str">
            <v>1.4 - 4.3</v>
          </cell>
          <cell r="J11">
            <v>1.8</v>
          </cell>
          <cell r="K11" t="str">
            <v>1.0 - 3.4</v>
          </cell>
          <cell r="L11">
            <v>2.8</v>
          </cell>
        </row>
        <row r="12">
          <cell r="A12" t="str">
            <v>Kab Tasikmalaya</v>
          </cell>
          <cell r="B12">
            <v>17</v>
          </cell>
          <cell r="C12" t="str">
            <v>13.4 - 21.5</v>
          </cell>
          <cell r="D12">
            <v>9.6999999999999993</v>
          </cell>
          <cell r="E12" t="str">
            <v>7.6 - 12.4</v>
          </cell>
          <cell r="F12">
            <v>0.6</v>
          </cell>
          <cell r="G12" t="str">
            <v>0.2 - 1.6</v>
          </cell>
          <cell r="H12">
            <v>1.1000000000000001</v>
          </cell>
          <cell r="I12" t="str">
            <v>0.5 - 2.2</v>
          </cell>
          <cell r="J12">
            <v>1.7</v>
          </cell>
          <cell r="K12" t="str">
            <v>1.0 - 3.0</v>
          </cell>
          <cell r="L12">
            <v>1.7000000000000002</v>
          </cell>
        </row>
        <row r="13">
          <cell r="A13" t="str">
            <v>Kab Ciamis</v>
          </cell>
          <cell r="B13">
            <v>20.3</v>
          </cell>
          <cell r="C13" t="str">
            <v>12.4 - 28.1</v>
          </cell>
          <cell r="D13">
            <v>16.8</v>
          </cell>
          <cell r="E13" t="str">
            <v>10.8 - 22.7</v>
          </cell>
          <cell r="F13">
            <v>0.4</v>
          </cell>
          <cell r="G13" t="str">
            <v>0.0 - 2.0</v>
          </cell>
          <cell r="H13">
            <v>4.0999999999999996</v>
          </cell>
          <cell r="I13" t="str">
            <v>2.5 - 5.8</v>
          </cell>
          <cell r="J13">
            <v>2.5</v>
          </cell>
          <cell r="K13" t="str">
            <v>1.4 - 3.7</v>
          </cell>
          <cell r="L13">
            <v>4.5</v>
          </cell>
        </row>
        <row r="14">
          <cell r="A14" t="str">
            <v>Kab Kuningan</v>
          </cell>
          <cell r="B14">
            <v>22.7</v>
          </cell>
          <cell r="C14" t="str">
            <v>18.6 - 27.5</v>
          </cell>
          <cell r="D14">
            <v>18.100000000000001</v>
          </cell>
          <cell r="E14" t="str">
            <v>14.6 - 22.2</v>
          </cell>
          <cell r="F14">
            <v>0.7</v>
          </cell>
          <cell r="G14" t="str">
            <v>0.1 - 4.4</v>
          </cell>
          <cell r="H14">
            <v>4.8</v>
          </cell>
          <cell r="I14" t="str">
            <v>3.3 - 6.9</v>
          </cell>
          <cell r="J14">
            <v>1.9</v>
          </cell>
          <cell r="K14" t="str">
            <v>1.1 - 3.4</v>
          </cell>
          <cell r="L14">
            <v>5.5</v>
          </cell>
        </row>
        <row r="15">
          <cell r="A15" t="str">
            <v>Kab Cirebon</v>
          </cell>
          <cell r="B15">
            <v>18</v>
          </cell>
          <cell r="C15" t="str">
            <v>11.2 - 24.8</v>
          </cell>
          <cell r="D15">
            <v>17.600000000000001</v>
          </cell>
          <cell r="E15" t="str">
            <v>11.9 - 23.2</v>
          </cell>
          <cell r="F15">
            <v>1.3</v>
          </cell>
          <cell r="G15" t="str">
            <v>0.0 - 2.9</v>
          </cell>
          <cell r="H15">
            <v>6.3</v>
          </cell>
          <cell r="I15" t="str">
            <v>4.1 - 8.6</v>
          </cell>
          <cell r="J15">
            <v>2.7</v>
          </cell>
          <cell r="K15" t="str">
            <v>1.6 - 3.8</v>
          </cell>
          <cell r="L15">
            <v>7.6</v>
          </cell>
        </row>
        <row r="16">
          <cell r="A16" t="str">
            <v>Kab Majalengka</v>
          </cell>
          <cell r="B16">
            <v>18</v>
          </cell>
          <cell r="C16" t="str">
            <v>14.9 - 21.6</v>
          </cell>
          <cell r="D16">
            <v>15.3</v>
          </cell>
          <cell r="E16" t="str">
            <v>12.0 - 19.1</v>
          </cell>
          <cell r="F16">
            <v>0.5</v>
          </cell>
          <cell r="G16" t="str">
            <v>0.2 - 1.3</v>
          </cell>
          <cell r="H16">
            <v>6.5</v>
          </cell>
          <cell r="I16" t="str">
            <v>4.5 - 9.5</v>
          </cell>
          <cell r="J16">
            <v>3.2</v>
          </cell>
          <cell r="K16" t="str">
            <v>2.1 - 4.8</v>
          </cell>
          <cell r="L16">
            <v>7</v>
          </cell>
        </row>
        <row r="17">
          <cell r="A17" t="str">
            <v>Kab Sumedang</v>
          </cell>
          <cell r="B17">
            <v>17</v>
          </cell>
          <cell r="C17" t="str">
            <v>13.8 - 21.0</v>
          </cell>
          <cell r="D17">
            <v>9.6999999999999993</v>
          </cell>
          <cell r="E17" t="str">
            <v>7.4 - 12.8</v>
          </cell>
          <cell r="F17">
            <v>0</v>
          </cell>
          <cell r="G17" t="str">
            <v>0.0 - 0.0</v>
          </cell>
          <cell r="H17">
            <v>2.6</v>
          </cell>
          <cell r="I17" t="str">
            <v>1.6 - 4.2</v>
          </cell>
          <cell r="J17">
            <v>2.9</v>
          </cell>
          <cell r="K17" t="str">
            <v>1.8 - 4.5</v>
          </cell>
          <cell r="L17">
            <v>2.6</v>
          </cell>
        </row>
        <row r="18">
          <cell r="A18" t="str">
            <v>Kab Indramayu</v>
          </cell>
          <cell r="B18">
            <v>9.8000000000000007</v>
          </cell>
          <cell r="C18" t="str">
            <v>7.7 - 12.4</v>
          </cell>
          <cell r="D18">
            <v>12.6</v>
          </cell>
          <cell r="E18" t="str">
            <v>10.1 - 15.4</v>
          </cell>
          <cell r="F18">
            <v>0.4</v>
          </cell>
          <cell r="G18" t="str">
            <v>0.2 - 1.1</v>
          </cell>
          <cell r="H18">
            <v>6.3</v>
          </cell>
          <cell r="I18" t="str">
            <v>4.5 - 8.6</v>
          </cell>
          <cell r="J18">
            <v>3.5</v>
          </cell>
          <cell r="K18" t="str">
            <v>2.3 - 5.4</v>
          </cell>
          <cell r="L18">
            <v>6.7</v>
          </cell>
        </row>
        <row r="19">
          <cell r="A19" t="str">
            <v>Kab Subang</v>
          </cell>
          <cell r="B19">
            <v>12.4</v>
          </cell>
          <cell r="C19" t="str">
            <v>9.4 - 16.1</v>
          </cell>
          <cell r="D19">
            <v>10.4</v>
          </cell>
          <cell r="E19" t="str">
            <v>8.1 - 13.2</v>
          </cell>
          <cell r="F19">
            <v>1.1000000000000001</v>
          </cell>
          <cell r="G19" t="str">
            <v>0.4 - 2.7</v>
          </cell>
          <cell r="H19">
            <v>4.2</v>
          </cell>
          <cell r="I19" t="str">
            <v>2.9 - 6.1</v>
          </cell>
          <cell r="J19">
            <v>6</v>
          </cell>
          <cell r="K19" t="str">
            <v>4.3 - 8.2</v>
          </cell>
          <cell r="L19">
            <v>5.3000000000000007</v>
          </cell>
        </row>
        <row r="20">
          <cell r="A20" t="str">
            <v>Kab Purwakarta</v>
          </cell>
          <cell r="B20">
            <v>14.4</v>
          </cell>
          <cell r="C20" t="str">
            <v>11.4 - 18.4</v>
          </cell>
          <cell r="D20">
            <v>10.8</v>
          </cell>
          <cell r="E20" t="str">
            <v>8.4 - 13.7</v>
          </cell>
          <cell r="F20">
            <v>0.2</v>
          </cell>
          <cell r="G20" t="str">
            <v>0.0 - 0.7</v>
          </cell>
          <cell r="H20">
            <v>3.4</v>
          </cell>
          <cell r="I20" t="str">
            <v>2.0 - 5.7</v>
          </cell>
          <cell r="J20">
            <v>4.2</v>
          </cell>
          <cell r="K20" t="str">
            <v>2.6 - 6.8</v>
          </cell>
          <cell r="L20">
            <v>3.6</v>
          </cell>
        </row>
        <row r="21">
          <cell r="A21" t="str">
            <v>Kab Karawang</v>
          </cell>
          <cell r="B21">
            <v>17.600000000000001</v>
          </cell>
          <cell r="C21" t="str">
            <v>14.6 - 21.0</v>
          </cell>
          <cell r="D21">
            <v>14.7</v>
          </cell>
          <cell r="E21" t="str">
            <v>11.7 - 18.2</v>
          </cell>
          <cell r="F21">
            <v>0.7</v>
          </cell>
          <cell r="G21" t="str">
            <v>0.3 - 1.6</v>
          </cell>
          <cell r="H21">
            <v>7.3</v>
          </cell>
          <cell r="I21" t="str">
            <v>5.1 - 10.3</v>
          </cell>
          <cell r="J21">
            <v>2.4</v>
          </cell>
          <cell r="K21" t="str">
            <v>1.4 - 4.3</v>
          </cell>
          <cell r="L21">
            <v>8</v>
          </cell>
        </row>
        <row r="22">
          <cell r="A22" t="str">
            <v>Kab Bekasi</v>
          </cell>
          <cell r="B22">
            <v>18.2</v>
          </cell>
          <cell r="C22" t="str">
            <v>11.6 - 24.9</v>
          </cell>
          <cell r="D22">
            <v>14.9</v>
          </cell>
          <cell r="E22" t="str">
            <v>9.8 - 20.1</v>
          </cell>
          <cell r="F22">
            <v>0.7</v>
          </cell>
          <cell r="G22" t="str">
            <v>0.0 - 2.3</v>
          </cell>
          <cell r="H22">
            <v>4.8</v>
          </cell>
          <cell r="I22" t="str">
            <v>3.0 - 6.6</v>
          </cell>
          <cell r="J22">
            <v>3.7</v>
          </cell>
          <cell r="K22" t="str">
            <v>2.3 - 5.1</v>
          </cell>
          <cell r="L22">
            <v>5.5</v>
          </cell>
        </row>
        <row r="23">
          <cell r="A23" t="str">
            <v>Kab Bandung Barat</v>
          </cell>
          <cell r="B23">
            <v>30.8</v>
          </cell>
          <cell r="C23" t="str">
            <v>26.1 - 35.9</v>
          </cell>
          <cell r="D23">
            <v>18.100000000000001</v>
          </cell>
          <cell r="E23" t="str">
            <v>14.5 - 22.2</v>
          </cell>
          <cell r="F23">
            <v>0.2</v>
          </cell>
          <cell r="G23" t="str">
            <v>0.1 - 1.0</v>
          </cell>
          <cell r="H23">
            <v>4.3</v>
          </cell>
          <cell r="I23" t="str">
            <v>2.8 - 6.6</v>
          </cell>
          <cell r="J23">
            <v>1.4</v>
          </cell>
          <cell r="K23" t="str">
            <v>0.8 - 2.6</v>
          </cell>
          <cell r="L23">
            <v>4.5</v>
          </cell>
        </row>
        <row r="24">
          <cell r="A24" t="str">
            <v>Kab Pangandaran</v>
          </cell>
          <cell r="B24">
            <v>17.3</v>
          </cell>
          <cell r="C24" t="str">
            <v>13.8 - 21.3</v>
          </cell>
          <cell r="D24">
            <v>13.6</v>
          </cell>
          <cell r="E24" t="str">
            <v>10.8 - 17.0</v>
          </cell>
          <cell r="F24">
            <v>0.5</v>
          </cell>
          <cell r="G24" t="str">
            <v>0.1 - 1.5</v>
          </cell>
          <cell r="H24">
            <v>5.9</v>
          </cell>
          <cell r="I24" t="str">
            <v>4.2 - 8.1</v>
          </cell>
          <cell r="J24">
            <v>2.2000000000000002</v>
          </cell>
          <cell r="K24" t="str">
            <v>1.2 - 4.1</v>
          </cell>
          <cell r="L24">
            <v>6.4</v>
          </cell>
        </row>
        <row r="25">
          <cell r="A25" t="str">
            <v>Kota Bogor</v>
          </cell>
          <cell r="B25">
            <v>21.1</v>
          </cell>
          <cell r="C25" t="str">
            <v>17.6 - 25.1</v>
          </cell>
          <cell r="D25">
            <v>12.1</v>
          </cell>
          <cell r="E25" t="str">
            <v>9.3 - 15.5</v>
          </cell>
          <cell r="F25">
            <v>0.5</v>
          </cell>
          <cell r="G25" t="str">
            <v>0.2 - 1.8</v>
          </cell>
          <cell r="H25">
            <v>4</v>
          </cell>
          <cell r="I25" t="str">
            <v>2.6 - 6.1</v>
          </cell>
          <cell r="J25">
            <v>2.9</v>
          </cell>
          <cell r="K25" t="str">
            <v>1.7 - 4.8</v>
          </cell>
          <cell r="L25">
            <v>4.5</v>
          </cell>
        </row>
        <row r="26">
          <cell r="A26" t="str">
            <v>Kota Sukabumi</v>
          </cell>
          <cell r="B26">
            <v>19.7</v>
          </cell>
          <cell r="C26" t="str">
            <v>13.7 - 25.7</v>
          </cell>
          <cell r="D26">
            <v>16.600000000000001</v>
          </cell>
          <cell r="E26" t="str">
            <v>10.9 - 22.4</v>
          </cell>
          <cell r="F26">
            <v>0.5</v>
          </cell>
          <cell r="G26" t="str">
            <v>0.0 - 2.1</v>
          </cell>
          <cell r="H26">
            <v>4.5</v>
          </cell>
          <cell r="I26" t="str">
            <v>2.5 - 6.5</v>
          </cell>
          <cell r="J26">
            <v>3.6</v>
          </cell>
          <cell r="K26" t="str">
            <v>2.2 - 5.0</v>
          </cell>
          <cell r="L26">
            <v>5</v>
          </cell>
        </row>
        <row r="27">
          <cell r="A27" t="str">
            <v>Kota Bandung</v>
          </cell>
          <cell r="B27">
            <v>22.8</v>
          </cell>
          <cell r="C27" t="str">
            <v>19.8 - 26.2</v>
          </cell>
          <cell r="D27">
            <v>14.5</v>
          </cell>
          <cell r="E27" t="str">
            <v>11.9 - 17.7</v>
          </cell>
          <cell r="F27">
            <v>0.8</v>
          </cell>
          <cell r="G27" t="str">
            <v>0.3 - 2.2</v>
          </cell>
          <cell r="H27">
            <v>4</v>
          </cell>
          <cell r="I27" t="str">
            <v>2.5 - 6.2</v>
          </cell>
          <cell r="J27">
            <v>4</v>
          </cell>
          <cell r="K27" t="str">
            <v>2.4 - 6.8</v>
          </cell>
          <cell r="L27">
            <v>4.8</v>
          </cell>
        </row>
        <row r="28">
          <cell r="A28" t="str">
            <v>Kota Cirebon</v>
          </cell>
          <cell r="B28">
            <v>14.9</v>
          </cell>
          <cell r="C28" t="str">
            <v>11.0 - 20.0</v>
          </cell>
          <cell r="D28">
            <v>16.899999999999999</v>
          </cell>
          <cell r="E28" t="str">
            <v>13.6 - 20.7</v>
          </cell>
          <cell r="F28">
            <v>1</v>
          </cell>
          <cell r="G28" t="str">
            <v>0.4 - 2.5</v>
          </cell>
          <cell r="H28">
            <v>6.9</v>
          </cell>
          <cell r="I28" t="str">
            <v>4.8 - 9.7</v>
          </cell>
          <cell r="J28">
            <v>5.9</v>
          </cell>
          <cell r="K28" t="str">
            <v>3.8 - 9.0</v>
          </cell>
          <cell r="L28">
            <v>7.9</v>
          </cell>
        </row>
        <row r="29">
          <cell r="A29" t="str">
            <v>Kota Bekasi</v>
          </cell>
          <cell r="B29">
            <v>11.7</v>
          </cell>
          <cell r="C29" t="str">
            <v>9.6 - 14.1</v>
          </cell>
          <cell r="D29">
            <v>6.6</v>
          </cell>
          <cell r="E29" t="str">
            <v>4.5 - 9.6</v>
          </cell>
          <cell r="F29">
            <v>0.4</v>
          </cell>
          <cell r="G29" t="str">
            <v>0.1 - 2.0</v>
          </cell>
          <cell r="H29">
            <v>2.9</v>
          </cell>
          <cell r="I29" t="str">
            <v>1.5 - 5.4</v>
          </cell>
          <cell r="J29">
            <v>3.9</v>
          </cell>
          <cell r="K29" t="str">
            <v>2.6 - 5.8</v>
          </cell>
          <cell r="L29">
            <v>3.3</v>
          </cell>
        </row>
        <row r="30">
          <cell r="A30" t="str">
            <v>Kota Depok</v>
          </cell>
          <cell r="B30">
            <v>12.5</v>
          </cell>
          <cell r="C30" t="str">
            <v>9.9 - 15.7</v>
          </cell>
          <cell r="D30">
            <v>11.6</v>
          </cell>
          <cell r="E30" t="str">
            <v>9.1 - 14.6</v>
          </cell>
          <cell r="F30">
            <v>0.8</v>
          </cell>
          <cell r="G30" t="str">
            <v>0.3 - 1.9</v>
          </cell>
          <cell r="H30">
            <v>4.0999999999999996</v>
          </cell>
          <cell r="I30" t="str">
            <v>2.7 - 6.2</v>
          </cell>
          <cell r="J30">
            <v>4.4000000000000004</v>
          </cell>
          <cell r="K30" t="str">
            <v>2.7 - 7.0</v>
          </cell>
          <cell r="L30">
            <v>4.8999999999999995</v>
          </cell>
        </row>
        <row r="31">
          <cell r="A31" t="str">
            <v>Kota Cimahi</v>
          </cell>
          <cell r="B31">
            <v>22.3</v>
          </cell>
          <cell r="C31" t="str">
            <v>19.2 - 25.7</v>
          </cell>
          <cell r="D31">
            <v>15.3</v>
          </cell>
          <cell r="E31" t="str">
            <v>12.4 - 18.8</v>
          </cell>
          <cell r="F31">
            <v>0.3</v>
          </cell>
          <cell r="G31" t="str">
            <v>0.1 - 1.3</v>
          </cell>
          <cell r="H31">
            <v>3.7</v>
          </cell>
          <cell r="I31" t="str">
            <v>2.4 - 5.8</v>
          </cell>
          <cell r="J31">
            <v>3.9</v>
          </cell>
          <cell r="K31" t="str">
            <v>2.6 - 5.9</v>
          </cell>
          <cell r="L31">
            <v>4</v>
          </cell>
        </row>
        <row r="32">
          <cell r="A32" t="str">
            <v>Kota Tasikmalaya</v>
          </cell>
          <cell r="B32">
            <v>19.600000000000001</v>
          </cell>
          <cell r="C32" t="str">
            <v>16.2 - 23.4</v>
          </cell>
          <cell r="D32">
            <v>13.4</v>
          </cell>
          <cell r="E32" t="str">
            <v>10.6 - 17.0</v>
          </cell>
          <cell r="F32">
            <v>0.3</v>
          </cell>
          <cell r="G32" t="str">
            <v>0.1 - 1.2</v>
          </cell>
          <cell r="H32">
            <v>3.9</v>
          </cell>
          <cell r="I32" t="str">
            <v>2.6 - 5.8</v>
          </cell>
          <cell r="J32">
            <v>1.9</v>
          </cell>
          <cell r="K32" t="str">
            <v>1.1 - 3.2</v>
          </cell>
          <cell r="L32">
            <v>4.2</v>
          </cell>
        </row>
        <row r="33">
          <cell r="A33" t="str">
            <v>Kota Banjar</v>
          </cell>
          <cell r="B33">
            <v>18.8</v>
          </cell>
          <cell r="C33" t="str">
            <v>15.2 - 23.1</v>
          </cell>
          <cell r="D33">
            <v>15.2</v>
          </cell>
          <cell r="E33" t="str">
            <v>11.6 - 19.6</v>
          </cell>
          <cell r="F33">
            <v>0.6</v>
          </cell>
          <cell r="G33" t="str">
            <v>0.2 - 1.5</v>
          </cell>
          <cell r="H33">
            <v>5.2</v>
          </cell>
          <cell r="I33" t="str">
            <v>3.2 - 8.6</v>
          </cell>
          <cell r="J33">
            <v>1.9</v>
          </cell>
          <cell r="K33" t="str">
            <v>1.0 - 3.3</v>
          </cell>
          <cell r="L33">
            <v>5.8</v>
          </cell>
        </row>
      </sheetData>
      <sheetData sheetId="5">
        <row r="1">
          <cell r="B1" t="str">
            <v>KABUPATEN/KOTA</v>
          </cell>
          <cell r="C1" t="str">
            <v>JUMLAH KASUS (L)</v>
          </cell>
          <cell r="D1" t="str">
            <v>JUMLAH KASUS (P)</v>
          </cell>
          <cell r="E1" t="str">
            <v>JUMLAH KASUS (L+P)</v>
          </cell>
        </row>
        <row r="2">
          <cell r="B2" t="str">
            <v>KAB BOGOR</v>
          </cell>
          <cell r="C2">
            <v>1706</v>
          </cell>
          <cell r="D2">
            <v>1698</v>
          </cell>
          <cell r="E2">
            <v>3404</v>
          </cell>
        </row>
        <row r="3">
          <cell r="B3" t="str">
            <v>KAB SUKABUMI</v>
          </cell>
          <cell r="C3">
            <v>368</v>
          </cell>
          <cell r="D3">
            <v>473</v>
          </cell>
          <cell r="E3">
            <v>841</v>
          </cell>
        </row>
        <row r="4">
          <cell r="B4" t="str">
            <v>KAB CIANJUR</v>
          </cell>
          <cell r="C4">
            <v>1013</v>
          </cell>
          <cell r="D4">
            <v>919</v>
          </cell>
          <cell r="E4">
            <v>1932</v>
          </cell>
        </row>
        <row r="5">
          <cell r="B5" t="str">
            <v>KAB BANDUNG</v>
          </cell>
          <cell r="C5">
            <v>1812</v>
          </cell>
          <cell r="D5">
            <v>1777</v>
          </cell>
          <cell r="E5">
            <v>3589</v>
          </cell>
        </row>
        <row r="6">
          <cell r="B6" t="str">
            <v>KAB GARUT</v>
          </cell>
          <cell r="C6">
            <v>1533</v>
          </cell>
          <cell r="D6">
            <v>1736</v>
          </cell>
          <cell r="E6">
            <v>3269</v>
          </cell>
        </row>
        <row r="7">
          <cell r="B7" t="str">
            <v>KAB TASIKMALAYA</v>
          </cell>
          <cell r="C7">
            <v>360</v>
          </cell>
          <cell r="D7">
            <v>403</v>
          </cell>
          <cell r="E7">
            <v>763</v>
          </cell>
        </row>
        <row r="8">
          <cell r="B8" t="str">
            <v>KAB CIAMIS</v>
          </cell>
          <cell r="C8">
            <v>691</v>
          </cell>
          <cell r="D8">
            <v>729</v>
          </cell>
          <cell r="E8">
            <v>1420</v>
          </cell>
        </row>
        <row r="9">
          <cell r="B9" t="str">
            <v>KAB KUNINGAN</v>
          </cell>
          <cell r="C9">
            <v>1053</v>
          </cell>
          <cell r="D9">
            <v>1112</v>
          </cell>
          <cell r="E9">
            <v>2165</v>
          </cell>
        </row>
        <row r="10">
          <cell r="B10" t="str">
            <v>KAB CIREBON</v>
          </cell>
          <cell r="C10">
            <v>946</v>
          </cell>
          <cell r="D10">
            <v>887</v>
          </cell>
          <cell r="E10">
            <v>1833</v>
          </cell>
        </row>
        <row r="11">
          <cell r="B11" t="str">
            <v>KAB MAJALENGKA</v>
          </cell>
          <cell r="C11">
            <v>700</v>
          </cell>
          <cell r="D11">
            <v>575</v>
          </cell>
          <cell r="E11">
            <v>1275</v>
          </cell>
        </row>
        <row r="12">
          <cell r="B12" t="str">
            <v>KAB SUMEDANG</v>
          </cell>
          <cell r="C12">
            <v>1080</v>
          </cell>
          <cell r="D12">
            <v>1223</v>
          </cell>
          <cell r="E12">
            <v>2303</v>
          </cell>
        </row>
        <row r="13">
          <cell r="B13" t="str">
            <v>KAB INDRAMAYU</v>
          </cell>
          <cell r="C13">
            <v>271</v>
          </cell>
          <cell r="D13">
            <v>257</v>
          </cell>
          <cell r="E13">
            <v>528</v>
          </cell>
        </row>
        <row r="14">
          <cell r="B14" t="str">
            <v>KAB SUBANG</v>
          </cell>
          <cell r="C14">
            <v>986</v>
          </cell>
          <cell r="D14">
            <v>943</v>
          </cell>
          <cell r="E14">
            <v>1929</v>
          </cell>
        </row>
        <row r="15">
          <cell r="B15" t="str">
            <v>KAB PURWAKARTA</v>
          </cell>
          <cell r="C15">
            <v>537</v>
          </cell>
          <cell r="D15">
            <v>551</v>
          </cell>
          <cell r="E15">
            <v>1088</v>
          </cell>
        </row>
        <row r="16">
          <cell r="B16" t="str">
            <v>KAB KARAWANG</v>
          </cell>
          <cell r="C16">
            <v>1689</v>
          </cell>
          <cell r="D16">
            <v>1590</v>
          </cell>
          <cell r="E16">
            <v>3279</v>
          </cell>
        </row>
        <row r="17">
          <cell r="B17" t="str">
            <v>KAB BEKASI</v>
          </cell>
          <cell r="C17">
            <v>1023</v>
          </cell>
          <cell r="D17">
            <v>879</v>
          </cell>
          <cell r="E17">
            <v>1902</v>
          </cell>
        </row>
        <row r="18">
          <cell r="B18" t="str">
            <v>KAB BANDUNG BARAT</v>
          </cell>
          <cell r="C18">
            <v>1803</v>
          </cell>
          <cell r="D18">
            <v>1951</v>
          </cell>
          <cell r="E18">
            <v>3754</v>
          </cell>
        </row>
        <row r="19">
          <cell r="B19" t="str">
            <v>KAB PANGANDARAN</v>
          </cell>
          <cell r="C19">
            <v>439</v>
          </cell>
          <cell r="D19">
            <v>451</v>
          </cell>
          <cell r="E19">
            <v>890</v>
          </cell>
        </row>
        <row r="20">
          <cell r="B20" t="str">
            <v>KOTA BOGOR</v>
          </cell>
          <cell r="C20">
            <v>1603</v>
          </cell>
          <cell r="D20">
            <v>1514</v>
          </cell>
          <cell r="E20">
            <v>3117</v>
          </cell>
        </row>
        <row r="21">
          <cell r="B21" t="str">
            <v>KOTA SUKABUMI</v>
          </cell>
          <cell r="C21">
            <v>801</v>
          </cell>
          <cell r="D21">
            <v>830</v>
          </cell>
          <cell r="E21">
            <v>1631</v>
          </cell>
        </row>
        <row r="22">
          <cell r="B22" t="str">
            <v>KOTA BANDUNG</v>
          </cell>
          <cell r="C22">
            <v>3886</v>
          </cell>
          <cell r="D22">
            <v>3794</v>
          </cell>
          <cell r="E22">
            <v>7680</v>
          </cell>
        </row>
        <row r="23">
          <cell r="B23" t="str">
            <v>KOTA CIREBON</v>
          </cell>
          <cell r="C23">
            <v>334</v>
          </cell>
          <cell r="D23">
            <v>263</v>
          </cell>
          <cell r="E23">
            <v>597</v>
          </cell>
        </row>
        <row r="24">
          <cell r="B24" t="str">
            <v>KOTA BEKASI</v>
          </cell>
          <cell r="C24">
            <v>2220</v>
          </cell>
          <cell r="D24">
            <v>1947</v>
          </cell>
          <cell r="E24">
            <v>4167</v>
          </cell>
        </row>
        <row r="25">
          <cell r="B25" t="str">
            <v>KOTA DEPOK</v>
          </cell>
          <cell r="C25">
            <v>2689</v>
          </cell>
          <cell r="D25">
            <v>2351</v>
          </cell>
          <cell r="E25">
            <v>5040</v>
          </cell>
        </row>
        <row r="26">
          <cell r="B26" t="str">
            <v>KOTA CIMAHI</v>
          </cell>
          <cell r="C26">
            <v>397</v>
          </cell>
          <cell r="D26">
            <v>453</v>
          </cell>
          <cell r="E26">
            <v>850</v>
          </cell>
        </row>
        <row r="27">
          <cell r="B27" t="str">
            <v>KOTA TASIKMALAYA</v>
          </cell>
          <cell r="C27">
            <v>871</v>
          </cell>
          <cell r="D27">
            <v>906</v>
          </cell>
          <cell r="E27">
            <v>1777</v>
          </cell>
        </row>
        <row r="28">
          <cell r="B28" t="str">
            <v>KOTA BANJAR</v>
          </cell>
          <cell r="C28">
            <v>166</v>
          </cell>
          <cell r="D28">
            <v>234</v>
          </cell>
          <cell r="E28">
            <v>400</v>
          </cell>
        </row>
        <row r="30">
          <cell r="C30">
            <v>30977</v>
          </cell>
          <cell r="D30">
            <v>30446</v>
          </cell>
          <cell r="E30">
            <v>61423</v>
          </cell>
        </row>
        <row r="31">
          <cell r="C31" t="str">
            <v>122,00</v>
          </cell>
        </row>
      </sheetData>
      <sheetData sheetId="6"/>
      <sheetData sheetId="7">
        <row r="3">
          <cell r="B3" t="str">
            <v>KABUPATEN/KOTA</v>
          </cell>
          <cell r="C3" t="str">
            <v>GIGITAN HEWAN PENULAR RABIES</v>
          </cell>
        </row>
        <row r="4">
          <cell r="C4" t="str">
            <v>JUMLAH KASUS GHPR</v>
          </cell>
          <cell r="F4" t="str">
            <v>CUCI LUKA</v>
          </cell>
          <cell r="G4" t="str">
            <v>PENGOBATAN</v>
          </cell>
          <cell r="L4" t="str">
            <v>LYSSA/R
ABIES
POSITIF</v>
          </cell>
          <cell r="M4" t="str">
            <v>JENIS HEWAN PENGGIGIT</v>
          </cell>
          <cell r="Q4" t="str">
            <v>SPESIMEN HEWAN YANG DI PERIKSA</v>
          </cell>
          <cell r="R4" t="str">
            <v>SPESIMEN HEWAN POSITIF</v>
          </cell>
        </row>
        <row r="5">
          <cell r="C5" t="str">
            <v>L</v>
          </cell>
          <cell r="D5" t="str">
            <v>P</v>
          </cell>
          <cell r="E5" t="str">
            <v>L+P</v>
          </cell>
          <cell r="G5" t="str">
            <v>VAR I</v>
          </cell>
          <cell r="I5" t="str">
            <v>VAR II</v>
          </cell>
          <cell r="J5" t="str">
            <v>VAR III</v>
          </cell>
          <cell r="K5" t="str">
            <v>SAR</v>
          </cell>
          <cell r="M5" t="str">
            <v>ANJING</v>
          </cell>
          <cell r="N5" t="str">
            <v>KUCING</v>
          </cell>
          <cell r="O5" t="str">
            <v>MONYET/
KERA</v>
          </cell>
          <cell r="P5" t="str">
            <v>LAIN-LAIN</v>
          </cell>
        </row>
        <row r="6">
          <cell r="G6" t="str">
            <v>DOSIS I</v>
          </cell>
          <cell r="H6" t="str">
            <v>DOSIS II</v>
          </cell>
          <cell r="I6" t="str">
            <v>DOSIS I</v>
          </cell>
          <cell r="J6" t="str">
            <v>DOSIS I</v>
          </cell>
        </row>
        <row r="7">
          <cell r="B7" t="str">
            <v>2</v>
          </cell>
          <cell r="C7" t="str">
            <v>3</v>
          </cell>
          <cell r="D7" t="str">
            <v>4</v>
          </cell>
          <cell r="E7" t="str">
            <v>5</v>
          </cell>
          <cell r="F7" t="str">
            <v>6</v>
          </cell>
          <cell r="G7" t="str">
            <v>7</v>
          </cell>
          <cell r="H7" t="str">
            <v>8</v>
          </cell>
          <cell r="I7" t="str">
            <v>9</v>
          </cell>
          <cell r="J7" t="str">
            <v>10</v>
          </cell>
          <cell r="K7" t="str">
            <v>11</v>
          </cell>
          <cell r="L7" t="str">
            <v>12</v>
          </cell>
          <cell r="M7" t="str">
            <v>13</v>
          </cell>
          <cell r="N7" t="str">
            <v>14</v>
          </cell>
          <cell r="O7" t="str">
            <v>15</v>
          </cell>
          <cell r="P7" t="str">
            <v>16</v>
          </cell>
          <cell r="Q7" t="str">
            <v>17</v>
          </cell>
          <cell r="R7" t="str">
            <v>18</v>
          </cell>
          <cell r="S7" t="str">
            <v>VAR1</v>
          </cell>
        </row>
        <row r="8">
          <cell r="B8" t="str">
            <v>KAB BOGOR</v>
          </cell>
          <cell r="C8">
            <v>137</v>
          </cell>
          <cell r="D8">
            <v>111</v>
          </cell>
          <cell r="E8">
            <v>248</v>
          </cell>
          <cell r="F8">
            <v>248</v>
          </cell>
          <cell r="G8">
            <v>246</v>
          </cell>
          <cell r="H8">
            <v>246</v>
          </cell>
          <cell r="I8">
            <v>27</v>
          </cell>
          <cell r="J8">
            <v>1</v>
          </cell>
          <cell r="K8">
            <v>2</v>
          </cell>
          <cell r="L8">
            <v>0</v>
          </cell>
          <cell r="M8">
            <v>130</v>
          </cell>
          <cell r="N8">
            <v>91</v>
          </cell>
          <cell r="O8">
            <v>26</v>
          </cell>
          <cell r="P8">
            <v>1</v>
          </cell>
          <cell r="Q8">
            <v>0</v>
          </cell>
          <cell r="R8">
            <v>0</v>
          </cell>
          <cell r="S8">
            <v>99.193548387096769</v>
          </cell>
        </row>
        <row r="9">
          <cell r="B9" t="str">
            <v>KAB SUKABUMI</v>
          </cell>
          <cell r="C9">
            <v>72</v>
          </cell>
          <cell r="D9">
            <v>68</v>
          </cell>
          <cell r="E9">
            <v>140</v>
          </cell>
          <cell r="F9">
            <v>140</v>
          </cell>
          <cell r="G9">
            <v>87</v>
          </cell>
          <cell r="H9">
            <v>87</v>
          </cell>
          <cell r="I9">
            <v>32</v>
          </cell>
          <cell r="J9">
            <v>16</v>
          </cell>
          <cell r="K9">
            <v>0</v>
          </cell>
          <cell r="L9">
            <v>0</v>
          </cell>
          <cell r="M9">
            <v>74</v>
          </cell>
          <cell r="N9">
            <v>53</v>
          </cell>
          <cell r="O9">
            <v>9</v>
          </cell>
          <cell r="P9">
            <v>0</v>
          </cell>
          <cell r="Q9">
            <v>0</v>
          </cell>
          <cell r="R9">
            <v>0</v>
          </cell>
          <cell r="S9">
            <v>62.142857142857146</v>
          </cell>
        </row>
        <row r="10">
          <cell r="B10" t="str">
            <v>KAB CIANJUR</v>
          </cell>
          <cell r="C10">
            <v>52</v>
          </cell>
          <cell r="D10">
            <v>34</v>
          </cell>
          <cell r="E10">
            <v>86</v>
          </cell>
          <cell r="F10">
            <v>86</v>
          </cell>
          <cell r="G10">
            <v>76</v>
          </cell>
          <cell r="H10">
            <v>76</v>
          </cell>
          <cell r="I10">
            <v>76</v>
          </cell>
          <cell r="J10">
            <v>15</v>
          </cell>
          <cell r="K10">
            <v>0</v>
          </cell>
          <cell r="L10">
            <v>0</v>
          </cell>
          <cell r="M10">
            <v>63</v>
          </cell>
          <cell r="N10">
            <v>13</v>
          </cell>
          <cell r="O10">
            <v>2</v>
          </cell>
          <cell r="P10">
            <v>0</v>
          </cell>
          <cell r="Q10">
            <v>0</v>
          </cell>
          <cell r="R10">
            <v>0</v>
          </cell>
          <cell r="S10">
            <v>88.372093023255815</v>
          </cell>
        </row>
        <row r="11">
          <cell r="B11" t="str">
            <v>KAB BANDUNG</v>
          </cell>
          <cell r="C11">
            <v>119</v>
          </cell>
          <cell r="D11">
            <v>123</v>
          </cell>
          <cell r="E11">
            <v>242</v>
          </cell>
          <cell r="F11">
            <v>242</v>
          </cell>
          <cell r="G11">
            <v>190</v>
          </cell>
          <cell r="H11">
            <v>164</v>
          </cell>
          <cell r="I11">
            <v>70</v>
          </cell>
          <cell r="J11">
            <v>0</v>
          </cell>
          <cell r="K11">
            <v>0</v>
          </cell>
          <cell r="L11">
            <v>0</v>
          </cell>
          <cell r="M11">
            <v>102</v>
          </cell>
          <cell r="N11">
            <v>127</v>
          </cell>
          <cell r="O11">
            <v>7</v>
          </cell>
          <cell r="P11">
            <v>3</v>
          </cell>
          <cell r="Q11">
            <v>0</v>
          </cell>
          <cell r="R11">
            <v>0</v>
          </cell>
          <cell r="S11">
            <v>78.512396694214885</v>
          </cell>
        </row>
        <row r="12">
          <cell r="B12" t="str">
            <v>KAB GARUT</v>
          </cell>
          <cell r="C12">
            <v>232</v>
          </cell>
          <cell r="D12">
            <v>169</v>
          </cell>
          <cell r="E12">
            <v>401</v>
          </cell>
          <cell r="F12">
            <v>401</v>
          </cell>
          <cell r="G12">
            <v>235</v>
          </cell>
          <cell r="H12">
            <v>235</v>
          </cell>
          <cell r="I12">
            <v>76</v>
          </cell>
          <cell r="J12">
            <v>17</v>
          </cell>
          <cell r="K12">
            <v>0</v>
          </cell>
          <cell r="L12">
            <v>0</v>
          </cell>
          <cell r="M12">
            <v>204</v>
          </cell>
          <cell r="N12">
            <v>167</v>
          </cell>
          <cell r="O12">
            <v>25</v>
          </cell>
          <cell r="P12">
            <v>5</v>
          </cell>
          <cell r="Q12">
            <v>0</v>
          </cell>
          <cell r="R12">
            <v>0</v>
          </cell>
          <cell r="S12">
            <v>58.603491271820452</v>
          </cell>
        </row>
        <row r="13">
          <cell r="B13" t="str">
            <v>KAB TASIKMALAYA</v>
          </cell>
          <cell r="C13">
            <v>90</v>
          </cell>
          <cell r="D13">
            <v>98</v>
          </cell>
          <cell r="E13">
            <v>188</v>
          </cell>
          <cell r="F13">
            <v>188</v>
          </cell>
          <cell r="G13">
            <v>25</v>
          </cell>
          <cell r="H13">
            <v>25</v>
          </cell>
          <cell r="I13">
            <v>21</v>
          </cell>
          <cell r="J13">
            <v>16</v>
          </cell>
          <cell r="K13">
            <v>0</v>
          </cell>
          <cell r="L13">
            <v>0</v>
          </cell>
          <cell r="M13">
            <v>78</v>
          </cell>
          <cell r="N13">
            <v>94</v>
          </cell>
          <cell r="O13">
            <v>10</v>
          </cell>
          <cell r="P13">
            <v>4</v>
          </cell>
          <cell r="Q13">
            <v>0</v>
          </cell>
          <cell r="R13">
            <v>0</v>
          </cell>
          <cell r="S13">
            <v>13.297872340425531</v>
          </cell>
        </row>
        <row r="14">
          <cell r="B14" t="str">
            <v>KAB CIAMIS</v>
          </cell>
          <cell r="C14">
            <v>67</v>
          </cell>
          <cell r="D14">
            <v>90</v>
          </cell>
          <cell r="E14">
            <v>157</v>
          </cell>
          <cell r="F14">
            <v>157</v>
          </cell>
          <cell r="G14">
            <v>12</v>
          </cell>
          <cell r="H14">
            <v>12</v>
          </cell>
          <cell r="I14">
            <v>4</v>
          </cell>
          <cell r="J14">
            <v>4</v>
          </cell>
          <cell r="K14">
            <v>2</v>
          </cell>
          <cell r="L14">
            <v>0</v>
          </cell>
          <cell r="M14">
            <v>25</v>
          </cell>
          <cell r="N14">
            <v>121</v>
          </cell>
          <cell r="O14">
            <v>7</v>
          </cell>
          <cell r="P14">
            <v>0</v>
          </cell>
          <cell r="Q14">
            <v>0</v>
          </cell>
          <cell r="R14">
            <v>0</v>
          </cell>
          <cell r="S14">
            <v>7.6433121019108281</v>
          </cell>
        </row>
        <row r="15">
          <cell r="B15" t="str">
            <v>KAB KUNINGAN</v>
          </cell>
          <cell r="C15">
            <v>74</v>
          </cell>
          <cell r="D15">
            <v>82</v>
          </cell>
          <cell r="E15">
            <v>156</v>
          </cell>
          <cell r="F15">
            <v>156</v>
          </cell>
          <cell r="G15">
            <v>20</v>
          </cell>
          <cell r="H15">
            <v>20</v>
          </cell>
          <cell r="I15">
            <v>4</v>
          </cell>
          <cell r="J15">
            <v>2</v>
          </cell>
          <cell r="K15">
            <v>0</v>
          </cell>
          <cell r="L15">
            <v>0</v>
          </cell>
          <cell r="M15">
            <v>42</v>
          </cell>
          <cell r="N15">
            <v>101</v>
          </cell>
          <cell r="O15">
            <v>5</v>
          </cell>
          <cell r="P15">
            <v>5</v>
          </cell>
          <cell r="Q15">
            <v>0</v>
          </cell>
          <cell r="R15">
            <v>0</v>
          </cell>
          <cell r="S15">
            <v>12.820512820512819</v>
          </cell>
        </row>
        <row r="16">
          <cell r="B16" t="str">
            <v>KAB CIREBON</v>
          </cell>
          <cell r="C16">
            <v>16</v>
          </cell>
          <cell r="D16">
            <v>27</v>
          </cell>
          <cell r="E16">
            <v>43</v>
          </cell>
          <cell r="F16">
            <v>43</v>
          </cell>
          <cell r="G16">
            <v>43</v>
          </cell>
          <cell r="H16">
            <v>43</v>
          </cell>
          <cell r="I16">
            <v>43</v>
          </cell>
          <cell r="J16">
            <v>0</v>
          </cell>
          <cell r="K16">
            <v>0</v>
          </cell>
          <cell r="L16">
            <v>0</v>
          </cell>
          <cell r="M16">
            <v>1</v>
          </cell>
          <cell r="N16">
            <v>40</v>
          </cell>
          <cell r="O16">
            <v>2</v>
          </cell>
          <cell r="P16">
            <v>0</v>
          </cell>
          <cell r="Q16">
            <v>0</v>
          </cell>
          <cell r="R16">
            <v>0</v>
          </cell>
          <cell r="S16">
            <v>100</v>
          </cell>
        </row>
        <row r="17">
          <cell r="B17" t="str">
            <v>KAB MAJALENGKA</v>
          </cell>
          <cell r="C17">
            <v>34</v>
          </cell>
          <cell r="D17">
            <v>39</v>
          </cell>
          <cell r="E17">
            <v>73</v>
          </cell>
          <cell r="F17">
            <v>73</v>
          </cell>
          <cell r="G17">
            <v>21</v>
          </cell>
          <cell r="H17">
            <v>21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15</v>
          </cell>
          <cell r="N17">
            <v>51</v>
          </cell>
          <cell r="O17">
            <v>6</v>
          </cell>
          <cell r="P17">
            <v>1</v>
          </cell>
          <cell r="Q17">
            <v>0</v>
          </cell>
          <cell r="R17">
            <v>0</v>
          </cell>
          <cell r="S17">
            <v>28.767123287671232</v>
          </cell>
        </row>
        <row r="18">
          <cell r="B18" t="str">
            <v>KAB SUMEDANG</v>
          </cell>
          <cell r="C18">
            <v>114</v>
          </cell>
          <cell r="D18">
            <v>123</v>
          </cell>
          <cell r="E18">
            <v>237</v>
          </cell>
          <cell r="F18">
            <v>237</v>
          </cell>
          <cell r="G18">
            <v>22</v>
          </cell>
          <cell r="H18">
            <v>22</v>
          </cell>
          <cell r="I18">
            <v>18</v>
          </cell>
          <cell r="J18">
            <v>11</v>
          </cell>
          <cell r="K18">
            <v>0</v>
          </cell>
          <cell r="L18">
            <v>0</v>
          </cell>
          <cell r="M18">
            <v>103</v>
          </cell>
          <cell r="N18">
            <v>121</v>
          </cell>
          <cell r="O18">
            <v>9</v>
          </cell>
          <cell r="P18">
            <v>1</v>
          </cell>
          <cell r="Q18">
            <v>0</v>
          </cell>
          <cell r="R18">
            <v>0</v>
          </cell>
          <cell r="S18">
            <v>9.2827004219409286</v>
          </cell>
        </row>
        <row r="19">
          <cell r="B19" t="str">
            <v>KAB INDRAMAYU</v>
          </cell>
          <cell r="C19">
            <v>32</v>
          </cell>
          <cell r="D19">
            <v>33</v>
          </cell>
          <cell r="E19">
            <v>65</v>
          </cell>
          <cell r="F19">
            <v>65</v>
          </cell>
          <cell r="G19">
            <v>65</v>
          </cell>
          <cell r="H19">
            <v>65</v>
          </cell>
          <cell r="I19">
            <v>44</v>
          </cell>
          <cell r="J19">
            <v>42</v>
          </cell>
          <cell r="K19">
            <v>0</v>
          </cell>
          <cell r="L19">
            <v>0</v>
          </cell>
          <cell r="M19">
            <v>23</v>
          </cell>
          <cell r="N19">
            <v>35</v>
          </cell>
          <cell r="O19">
            <v>3</v>
          </cell>
          <cell r="P19">
            <v>0</v>
          </cell>
          <cell r="Q19">
            <v>0</v>
          </cell>
          <cell r="R19">
            <v>0</v>
          </cell>
          <cell r="S19">
            <v>100</v>
          </cell>
        </row>
        <row r="20">
          <cell r="B20" t="str">
            <v>KAB SUBANG</v>
          </cell>
          <cell r="C20">
            <v>29</v>
          </cell>
          <cell r="D20">
            <v>42</v>
          </cell>
          <cell r="E20">
            <v>71</v>
          </cell>
          <cell r="F20">
            <v>71</v>
          </cell>
          <cell r="G20">
            <v>17</v>
          </cell>
          <cell r="H20">
            <v>17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25</v>
          </cell>
          <cell r="N20">
            <v>35</v>
          </cell>
          <cell r="O20">
            <v>9</v>
          </cell>
          <cell r="P20">
            <v>0</v>
          </cell>
          <cell r="Q20">
            <v>0</v>
          </cell>
          <cell r="R20">
            <v>0</v>
          </cell>
          <cell r="S20">
            <v>23.943661971830984</v>
          </cell>
        </row>
        <row r="21">
          <cell r="B21" t="str">
            <v>KAB PURWAKARTA</v>
          </cell>
          <cell r="C21">
            <v>45</v>
          </cell>
          <cell r="D21">
            <v>55</v>
          </cell>
          <cell r="E21">
            <v>100</v>
          </cell>
          <cell r="F21">
            <v>100</v>
          </cell>
          <cell r="G21">
            <v>100</v>
          </cell>
          <cell r="H21">
            <v>98</v>
          </cell>
          <cell r="I21">
            <v>3</v>
          </cell>
          <cell r="J21">
            <v>1</v>
          </cell>
          <cell r="K21">
            <v>0</v>
          </cell>
          <cell r="L21">
            <v>0</v>
          </cell>
          <cell r="M21">
            <v>28</v>
          </cell>
          <cell r="N21">
            <v>60</v>
          </cell>
          <cell r="O21">
            <v>10</v>
          </cell>
          <cell r="P21">
            <v>1</v>
          </cell>
          <cell r="Q21">
            <v>0</v>
          </cell>
          <cell r="R21">
            <v>0</v>
          </cell>
          <cell r="S21">
            <v>100</v>
          </cell>
        </row>
        <row r="22">
          <cell r="B22" t="str">
            <v>KAB KARAWANG</v>
          </cell>
          <cell r="C22">
            <v>30</v>
          </cell>
          <cell r="D22">
            <v>47</v>
          </cell>
          <cell r="E22">
            <v>77</v>
          </cell>
          <cell r="F22">
            <v>77</v>
          </cell>
          <cell r="G22">
            <v>74</v>
          </cell>
          <cell r="H22">
            <v>74</v>
          </cell>
          <cell r="I22">
            <v>71</v>
          </cell>
          <cell r="J22">
            <v>68</v>
          </cell>
          <cell r="K22">
            <v>1</v>
          </cell>
          <cell r="L22">
            <v>0</v>
          </cell>
          <cell r="M22">
            <v>37</v>
          </cell>
          <cell r="N22">
            <v>36</v>
          </cell>
          <cell r="O22">
            <v>2</v>
          </cell>
          <cell r="P22">
            <v>0</v>
          </cell>
          <cell r="Q22">
            <v>0</v>
          </cell>
          <cell r="R22">
            <v>0</v>
          </cell>
          <cell r="S22">
            <v>96.103896103896105</v>
          </cell>
        </row>
        <row r="23">
          <cell r="B23" t="str">
            <v>KAB BEKASI</v>
          </cell>
          <cell r="C23">
            <v>26</v>
          </cell>
          <cell r="D23">
            <v>29</v>
          </cell>
          <cell r="E23">
            <v>55</v>
          </cell>
          <cell r="F23">
            <v>55</v>
          </cell>
          <cell r="G23">
            <v>55</v>
          </cell>
          <cell r="H23">
            <v>55</v>
          </cell>
          <cell r="I23">
            <v>53</v>
          </cell>
          <cell r="J23">
            <v>36</v>
          </cell>
          <cell r="K23">
            <v>0</v>
          </cell>
          <cell r="L23">
            <v>0</v>
          </cell>
          <cell r="M23">
            <v>37</v>
          </cell>
          <cell r="N23">
            <v>11</v>
          </cell>
          <cell r="O23">
            <v>4</v>
          </cell>
          <cell r="P23">
            <v>1</v>
          </cell>
          <cell r="Q23">
            <v>0</v>
          </cell>
          <cell r="R23">
            <v>0</v>
          </cell>
          <cell r="S23">
            <v>100</v>
          </cell>
        </row>
        <row r="24">
          <cell r="B24" t="str">
            <v>KAB BANDUNG BARAT</v>
          </cell>
          <cell r="C24">
            <v>50</v>
          </cell>
          <cell r="D24">
            <v>50</v>
          </cell>
          <cell r="E24">
            <v>100</v>
          </cell>
          <cell r="F24">
            <v>100</v>
          </cell>
          <cell r="G24">
            <v>88</v>
          </cell>
          <cell r="H24">
            <v>88</v>
          </cell>
          <cell r="I24">
            <v>56</v>
          </cell>
          <cell r="J24">
            <v>2</v>
          </cell>
          <cell r="K24">
            <v>0</v>
          </cell>
          <cell r="L24">
            <v>0</v>
          </cell>
          <cell r="M24">
            <v>31</v>
          </cell>
          <cell r="N24">
            <v>52</v>
          </cell>
          <cell r="O24">
            <v>13</v>
          </cell>
          <cell r="P24">
            <v>2</v>
          </cell>
          <cell r="Q24">
            <v>0</v>
          </cell>
          <cell r="R24">
            <v>0</v>
          </cell>
          <cell r="S24">
            <v>88</v>
          </cell>
        </row>
        <row r="25">
          <cell r="B25" t="str">
            <v>KAB PANGANDARAN</v>
          </cell>
          <cell r="C25">
            <v>75</v>
          </cell>
          <cell r="D25">
            <v>64</v>
          </cell>
          <cell r="E25">
            <v>139</v>
          </cell>
          <cell r="F25">
            <v>139</v>
          </cell>
          <cell r="G25">
            <v>97</v>
          </cell>
          <cell r="H25">
            <v>97</v>
          </cell>
          <cell r="I25">
            <v>20</v>
          </cell>
          <cell r="J25">
            <v>4</v>
          </cell>
          <cell r="K25">
            <v>0</v>
          </cell>
          <cell r="L25">
            <v>0</v>
          </cell>
          <cell r="M25">
            <v>35</v>
          </cell>
          <cell r="N25">
            <v>80</v>
          </cell>
          <cell r="O25">
            <v>13</v>
          </cell>
          <cell r="P25">
            <v>4</v>
          </cell>
          <cell r="Q25">
            <v>0</v>
          </cell>
          <cell r="R25">
            <v>0</v>
          </cell>
          <cell r="S25">
            <v>69.7841726618705</v>
          </cell>
        </row>
        <row r="26">
          <cell r="B26" t="str">
            <v>KOTA BOGOR</v>
          </cell>
          <cell r="C26">
            <v>116</v>
          </cell>
          <cell r="D26">
            <v>114</v>
          </cell>
          <cell r="E26">
            <v>230</v>
          </cell>
          <cell r="F26">
            <v>230</v>
          </cell>
          <cell r="G26">
            <v>169</v>
          </cell>
          <cell r="H26">
            <v>169</v>
          </cell>
          <cell r="I26">
            <v>26</v>
          </cell>
          <cell r="J26">
            <v>7</v>
          </cell>
          <cell r="K26">
            <v>0</v>
          </cell>
          <cell r="L26">
            <v>0</v>
          </cell>
          <cell r="M26">
            <v>68</v>
          </cell>
          <cell r="N26">
            <v>139</v>
          </cell>
          <cell r="O26">
            <v>15</v>
          </cell>
          <cell r="P26">
            <v>6</v>
          </cell>
          <cell r="Q26">
            <v>0</v>
          </cell>
          <cell r="R26">
            <v>0</v>
          </cell>
          <cell r="S26">
            <v>73.478260869565219</v>
          </cell>
        </row>
        <row r="27">
          <cell r="B27" t="str">
            <v>KOTA SUKABUMI</v>
          </cell>
          <cell r="C27">
            <v>152</v>
          </cell>
          <cell r="D27">
            <v>142</v>
          </cell>
          <cell r="E27">
            <v>294</v>
          </cell>
          <cell r="F27">
            <v>294</v>
          </cell>
          <cell r="G27">
            <v>291</v>
          </cell>
          <cell r="H27">
            <v>292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110</v>
          </cell>
          <cell r="N27">
            <v>159</v>
          </cell>
          <cell r="O27">
            <v>21</v>
          </cell>
          <cell r="P27">
            <v>2</v>
          </cell>
          <cell r="Q27">
            <v>0</v>
          </cell>
          <cell r="R27">
            <v>0</v>
          </cell>
          <cell r="S27">
            <v>98.979591836734699</v>
          </cell>
        </row>
        <row r="28">
          <cell r="B28" t="str">
            <v>KOTA BANDUNG</v>
          </cell>
          <cell r="C28">
            <v>154</v>
          </cell>
          <cell r="D28">
            <v>147</v>
          </cell>
          <cell r="E28">
            <v>301</v>
          </cell>
          <cell r="F28">
            <v>301</v>
          </cell>
          <cell r="G28">
            <v>193</v>
          </cell>
          <cell r="H28">
            <v>193</v>
          </cell>
          <cell r="I28">
            <v>35</v>
          </cell>
          <cell r="J28">
            <v>3</v>
          </cell>
          <cell r="K28">
            <v>0</v>
          </cell>
          <cell r="L28">
            <v>0</v>
          </cell>
          <cell r="M28">
            <v>97</v>
          </cell>
          <cell r="N28">
            <v>159</v>
          </cell>
          <cell r="O28">
            <v>12</v>
          </cell>
          <cell r="P28">
            <v>25</v>
          </cell>
          <cell r="Q28">
            <v>0</v>
          </cell>
          <cell r="R28">
            <v>0</v>
          </cell>
          <cell r="S28">
            <v>64.119601328903656</v>
          </cell>
        </row>
        <row r="29">
          <cell r="B29" t="str">
            <v>KOTA CIREBON</v>
          </cell>
          <cell r="C29">
            <v>152</v>
          </cell>
          <cell r="D29">
            <v>191</v>
          </cell>
          <cell r="E29">
            <v>343</v>
          </cell>
          <cell r="F29">
            <v>343</v>
          </cell>
          <cell r="G29">
            <v>258</v>
          </cell>
          <cell r="H29">
            <v>258</v>
          </cell>
          <cell r="I29">
            <v>17</v>
          </cell>
          <cell r="J29">
            <v>3</v>
          </cell>
          <cell r="K29">
            <v>0</v>
          </cell>
          <cell r="L29">
            <v>0</v>
          </cell>
          <cell r="M29">
            <v>55</v>
          </cell>
          <cell r="N29">
            <v>281</v>
          </cell>
          <cell r="O29">
            <v>6</v>
          </cell>
          <cell r="P29">
            <v>0</v>
          </cell>
          <cell r="Q29">
            <v>0</v>
          </cell>
          <cell r="R29">
            <v>0</v>
          </cell>
          <cell r="S29">
            <v>75.218658892128275</v>
          </cell>
        </row>
        <row r="30">
          <cell r="B30" t="str">
            <v>KOTA BEKASI</v>
          </cell>
          <cell r="C30">
            <v>151</v>
          </cell>
          <cell r="D30">
            <v>180</v>
          </cell>
          <cell r="E30">
            <v>331</v>
          </cell>
          <cell r="F30">
            <v>331</v>
          </cell>
          <cell r="G30">
            <v>205</v>
          </cell>
          <cell r="H30">
            <v>205</v>
          </cell>
          <cell r="I30">
            <v>68</v>
          </cell>
          <cell r="J30">
            <v>15</v>
          </cell>
          <cell r="K30">
            <v>0</v>
          </cell>
          <cell r="L30">
            <v>0</v>
          </cell>
          <cell r="M30">
            <v>121</v>
          </cell>
          <cell r="N30">
            <v>189</v>
          </cell>
          <cell r="O30">
            <v>13</v>
          </cell>
          <cell r="P30">
            <v>4</v>
          </cell>
          <cell r="Q30">
            <v>0</v>
          </cell>
          <cell r="R30">
            <v>0</v>
          </cell>
          <cell r="S30">
            <v>61.933534743202415</v>
          </cell>
        </row>
        <row r="31">
          <cell r="B31" t="str">
            <v>KOTA DEPOK</v>
          </cell>
          <cell r="C31">
            <v>65</v>
          </cell>
          <cell r="D31">
            <v>82</v>
          </cell>
          <cell r="E31">
            <v>147</v>
          </cell>
          <cell r="F31">
            <v>147</v>
          </cell>
          <cell r="G31">
            <v>65</v>
          </cell>
          <cell r="H31">
            <v>65</v>
          </cell>
          <cell r="I31">
            <v>19</v>
          </cell>
          <cell r="J31">
            <v>2</v>
          </cell>
          <cell r="K31">
            <v>0</v>
          </cell>
          <cell r="L31">
            <v>0</v>
          </cell>
          <cell r="M31">
            <v>32</v>
          </cell>
          <cell r="N31">
            <v>86</v>
          </cell>
          <cell r="O31">
            <v>16</v>
          </cell>
          <cell r="P31">
            <v>5</v>
          </cell>
          <cell r="Q31">
            <v>0</v>
          </cell>
          <cell r="R31">
            <v>0</v>
          </cell>
          <cell r="S31">
            <v>44.217687074829932</v>
          </cell>
        </row>
        <row r="32">
          <cell r="B32" t="str">
            <v>KOTA CIMAHI</v>
          </cell>
          <cell r="C32">
            <v>34</v>
          </cell>
          <cell r="D32">
            <v>40</v>
          </cell>
          <cell r="E32">
            <v>74</v>
          </cell>
          <cell r="F32">
            <v>74</v>
          </cell>
          <cell r="G32">
            <v>34</v>
          </cell>
          <cell r="H32">
            <v>34</v>
          </cell>
          <cell r="I32">
            <v>29</v>
          </cell>
          <cell r="J32">
            <v>18</v>
          </cell>
          <cell r="K32">
            <v>0</v>
          </cell>
          <cell r="L32">
            <v>0</v>
          </cell>
          <cell r="M32">
            <v>12</v>
          </cell>
          <cell r="N32">
            <v>57</v>
          </cell>
          <cell r="O32">
            <v>4</v>
          </cell>
          <cell r="P32">
            <v>1</v>
          </cell>
          <cell r="Q32">
            <v>0</v>
          </cell>
          <cell r="R32">
            <v>0</v>
          </cell>
          <cell r="S32">
            <v>45.945945945945951</v>
          </cell>
        </row>
        <row r="33">
          <cell r="B33" t="str">
            <v>KOTA TASIKMALAYA</v>
          </cell>
          <cell r="C33">
            <v>34</v>
          </cell>
          <cell r="D33">
            <v>49</v>
          </cell>
          <cell r="E33">
            <v>83</v>
          </cell>
          <cell r="F33">
            <v>83</v>
          </cell>
          <cell r="G33">
            <v>31</v>
          </cell>
          <cell r="H33">
            <v>31</v>
          </cell>
          <cell r="I33">
            <v>18</v>
          </cell>
          <cell r="J33">
            <v>5</v>
          </cell>
          <cell r="K33">
            <v>0</v>
          </cell>
          <cell r="L33">
            <v>0</v>
          </cell>
          <cell r="M33">
            <v>16</v>
          </cell>
          <cell r="N33">
            <v>58</v>
          </cell>
          <cell r="O33">
            <v>7</v>
          </cell>
          <cell r="P33">
            <v>0</v>
          </cell>
          <cell r="Q33">
            <v>0</v>
          </cell>
          <cell r="R33">
            <v>0</v>
          </cell>
          <cell r="S33">
            <v>37.349397590361441</v>
          </cell>
        </row>
        <row r="34">
          <cell r="B34" t="str">
            <v>KOTA BANJAR</v>
          </cell>
          <cell r="C34">
            <v>22</v>
          </cell>
          <cell r="D34">
            <v>30</v>
          </cell>
          <cell r="E34">
            <v>52</v>
          </cell>
          <cell r="F34">
            <v>52</v>
          </cell>
          <cell r="G34">
            <v>35</v>
          </cell>
          <cell r="H34">
            <v>35</v>
          </cell>
          <cell r="I34">
            <v>17</v>
          </cell>
          <cell r="J34">
            <v>5</v>
          </cell>
          <cell r="K34">
            <v>0</v>
          </cell>
          <cell r="L34">
            <v>0</v>
          </cell>
          <cell r="M34">
            <v>8</v>
          </cell>
          <cell r="N34">
            <v>33</v>
          </cell>
          <cell r="O34">
            <v>8</v>
          </cell>
          <cell r="P34">
            <v>1</v>
          </cell>
          <cell r="Q34">
            <v>0</v>
          </cell>
          <cell r="R34">
            <v>0</v>
          </cell>
          <cell r="S34">
            <v>67.307692307692307</v>
          </cell>
        </row>
        <row r="35">
          <cell r="B35" t="str">
            <v>JUMLAH (KAB/KOTA)</v>
          </cell>
          <cell r="C35">
            <v>2174</v>
          </cell>
          <cell r="D35">
            <v>2259</v>
          </cell>
          <cell r="E35">
            <v>4433</v>
          </cell>
          <cell r="F35">
            <v>4433</v>
          </cell>
          <cell r="G35">
            <v>2754</v>
          </cell>
          <cell r="H35">
            <v>2727</v>
          </cell>
          <cell r="I35">
            <v>847</v>
          </cell>
          <cell r="J35">
            <v>293</v>
          </cell>
          <cell r="K35">
            <v>5</v>
          </cell>
          <cell r="L35">
            <v>0</v>
          </cell>
          <cell r="M35">
            <v>1572</v>
          </cell>
          <cell r="N35">
            <v>2449</v>
          </cell>
          <cell r="O35">
            <v>264</v>
          </cell>
          <cell r="P35">
            <v>72</v>
          </cell>
          <cell r="Q35">
            <v>0</v>
          </cell>
          <cell r="R35">
            <v>0</v>
          </cell>
          <cell r="S35">
            <v>62.124971802391158</v>
          </cell>
        </row>
      </sheetData>
      <sheetData sheetId="8">
        <row r="3">
          <cell r="B3" t="str">
            <v>KABUPATEN/KOTA</v>
          </cell>
          <cell r="C3" t="str">
            <v>GIGITAN HEWAN PENULAR RABIES</v>
          </cell>
        </row>
        <row r="4">
          <cell r="C4" t="str">
            <v>JENIS KELAMIN/UMUR</v>
          </cell>
          <cell r="Q4" t="str">
            <v>PENGOBATAN</v>
          </cell>
          <cell r="X4" t="str">
            <v>LYSSA/RABIES POSITIF</v>
          </cell>
          <cell r="Y4" t="str">
            <v>JENIS HEWAN PENGGIGIT</v>
          </cell>
          <cell r="AC4" t="str">
            <v>SPESIMEN HEWAN YANG DI PERIKSA</v>
          </cell>
          <cell r="AD4" t="str">
            <v>SPESIMEN HEWAN POSITIF</v>
          </cell>
        </row>
        <row r="5">
          <cell r="C5" t="str">
            <v>LAKI-LAKI</v>
          </cell>
          <cell r="J5" t="str">
            <v>PEREMPUAN</v>
          </cell>
          <cell r="Q5" t="str">
            <v>JUMLAH KASUS</v>
          </cell>
          <cell r="R5" t="str">
            <v>CUCI LUKA</v>
          </cell>
          <cell r="S5" t="str">
            <v>VAR I</v>
          </cell>
          <cell r="U5" t="str">
            <v>VAR II</v>
          </cell>
          <cell r="W5" t="str">
            <v>SAR</v>
          </cell>
        </row>
        <row r="6">
          <cell r="C6" t="str">
            <v>&lt;5</v>
          </cell>
          <cell r="D6" t="str">
            <v>5-9</v>
          </cell>
          <cell r="E6" t="str">
            <v>10-14</v>
          </cell>
          <cell r="F6" t="str">
            <v>15-19</v>
          </cell>
          <cell r="G6" t="str">
            <v>20-44</v>
          </cell>
          <cell r="H6" t="str">
            <v>45-64</v>
          </cell>
          <cell r="I6" t="str">
            <v>&gt;64</v>
          </cell>
          <cell r="J6" t="str">
            <v>&lt;5</v>
          </cell>
          <cell r="K6" t="str">
            <v>5-9</v>
          </cell>
          <cell r="L6" t="str">
            <v>10-14</v>
          </cell>
          <cell r="M6" t="str">
            <v>15-19</v>
          </cell>
          <cell r="N6" t="str">
            <v>20-44</v>
          </cell>
          <cell r="O6" t="str">
            <v>45-64</v>
          </cell>
          <cell r="P6" t="str">
            <v>&gt;64</v>
          </cell>
          <cell r="S6" t="str">
            <v>DOSIS I</v>
          </cell>
          <cell r="T6" t="str">
            <v>DOSIS II</v>
          </cell>
          <cell r="U6" t="str">
            <v>DOSIS I</v>
          </cell>
          <cell r="V6" t="str">
            <v>DOSIS II</v>
          </cell>
          <cell r="Y6" t="str">
            <v>ANJING</v>
          </cell>
          <cell r="Z6" t="str">
            <v>KUCING</v>
          </cell>
          <cell r="AA6" t="str">
            <v>MONYET/KERA</v>
          </cell>
          <cell r="AB6" t="str">
            <v>LAIN-LAIN</v>
          </cell>
          <cell r="AE6" t="str">
            <v>VAR1</v>
          </cell>
        </row>
        <row r="7">
          <cell r="B7" t="str">
            <v>2</v>
          </cell>
          <cell r="C7" t="str">
            <v>3</v>
          </cell>
          <cell r="D7" t="str">
            <v>4</v>
          </cell>
          <cell r="E7" t="str">
            <v>5</v>
          </cell>
          <cell r="F7" t="str">
            <v>6</v>
          </cell>
          <cell r="G7" t="str">
            <v>7</v>
          </cell>
          <cell r="H7" t="str">
            <v>8</v>
          </cell>
          <cell r="I7" t="str">
            <v>9</v>
          </cell>
          <cell r="J7" t="str">
            <v>10</v>
          </cell>
          <cell r="K7" t="str">
            <v>11</v>
          </cell>
          <cell r="L7" t="str">
            <v>12</v>
          </cell>
          <cell r="M7" t="str">
            <v>13</v>
          </cell>
          <cell r="N7" t="str">
            <v>14</v>
          </cell>
          <cell r="O7" t="str">
            <v>15</v>
          </cell>
          <cell r="P7" t="str">
            <v>16</v>
          </cell>
          <cell r="Q7" t="str">
            <v>17</v>
          </cell>
          <cell r="R7" t="str">
            <v>18</v>
          </cell>
          <cell r="S7" t="str">
            <v>19</v>
          </cell>
          <cell r="T7" t="str">
            <v>20</v>
          </cell>
          <cell r="U7" t="str">
            <v>21</v>
          </cell>
          <cell r="V7" t="str">
            <v>22</v>
          </cell>
          <cell r="W7" t="str">
            <v>23</v>
          </cell>
          <cell r="X7" t="str">
            <v>24</v>
          </cell>
          <cell r="Y7" t="str">
            <v>25</v>
          </cell>
          <cell r="Z7" t="str">
            <v>26</v>
          </cell>
          <cell r="AA7" t="str">
            <v>27</v>
          </cell>
          <cell r="AB7" t="str">
            <v>28</v>
          </cell>
          <cell r="AC7" t="str">
            <v>29</v>
          </cell>
          <cell r="AD7" t="str">
            <v>30</v>
          </cell>
        </row>
        <row r="8">
          <cell r="B8" t="str">
            <v>KAB BOGOR</v>
          </cell>
          <cell r="C8">
            <v>21</v>
          </cell>
          <cell r="D8">
            <v>27</v>
          </cell>
          <cell r="E8">
            <v>13</v>
          </cell>
          <cell r="F8">
            <v>12</v>
          </cell>
          <cell r="G8">
            <v>74</v>
          </cell>
          <cell r="H8">
            <v>31</v>
          </cell>
          <cell r="I8">
            <v>12</v>
          </cell>
          <cell r="J8">
            <v>17</v>
          </cell>
          <cell r="K8">
            <v>22</v>
          </cell>
          <cell r="L8">
            <v>10</v>
          </cell>
          <cell r="M8">
            <v>16</v>
          </cell>
          <cell r="N8">
            <v>61</v>
          </cell>
          <cell r="O8">
            <v>38</v>
          </cell>
          <cell r="P8">
            <v>7</v>
          </cell>
          <cell r="Q8">
            <v>365</v>
          </cell>
          <cell r="R8">
            <v>365</v>
          </cell>
          <cell r="S8">
            <v>365</v>
          </cell>
          <cell r="T8">
            <v>365</v>
          </cell>
          <cell r="U8">
            <v>176</v>
          </cell>
          <cell r="V8">
            <v>0</v>
          </cell>
          <cell r="W8">
            <v>0</v>
          </cell>
          <cell r="X8">
            <v>0</v>
          </cell>
          <cell r="Y8">
            <v>184</v>
          </cell>
          <cell r="Z8">
            <v>159</v>
          </cell>
          <cell r="AA8">
            <v>20</v>
          </cell>
          <cell r="AB8">
            <v>3</v>
          </cell>
          <cell r="AC8">
            <v>0</v>
          </cell>
          <cell r="AD8">
            <v>0</v>
          </cell>
          <cell r="AE8">
            <v>100</v>
          </cell>
        </row>
        <row r="9">
          <cell r="B9" t="str">
            <v>KAB SUKABUMI</v>
          </cell>
          <cell r="C9">
            <v>13</v>
          </cell>
          <cell r="D9">
            <v>30</v>
          </cell>
          <cell r="E9">
            <v>15</v>
          </cell>
          <cell r="F9">
            <v>8</v>
          </cell>
          <cell r="G9">
            <v>27</v>
          </cell>
          <cell r="H9">
            <v>18</v>
          </cell>
          <cell r="I9">
            <v>4</v>
          </cell>
          <cell r="J9">
            <v>12</v>
          </cell>
          <cell r="K9">
            <v>13</v>
          </cell>
          <cell r="L9">
            <v>10</v>
          </cell>
          <cell r="M9">
            <v>8</v>
          </cell>
          <cell r="N9">
            <v>33</v>
          </cell>
          <cell r="O9">
            <v>25</v>
          </cell>
          <cell r="P9">
            <v>8</v>
          </cell>
          <cell r="Q9">
            <v>231</v>
          </cell>
          <cell r="R9">
            <v>231</v>
          </cell>
          <cell r="S9">
            <v>125</v>
          </cell>
          <cell r="T9">
            <v>125</v>
          </cell>
          <cell r="U9">
            <v>48</v>
          </cell>
          <cell r="V9">
            <v>20</v>
          </cell>
          <cell r="W9">
            <v>0</v>
          </cell>
          <cell r="X9">
            <v>0</v>
          </cell>
          <cell r="Y9">
            <v>104</v>
          </cell>
          <cell r="Z9">
            <v>118</v>
          </cell>
          <cell r="AA9">
            <v>9</v>
          </cell>
          <cell r="AB9">
            <v>0</v>
          </cell>
          <cell r="AC9">
            <v>0</v>
          </cell>
          <cell r="AD9">
            <v>0</v>
          </cell>
          <cell r="AE9">
            <v>54.112554112554115</v>
          </cell>
        </row>
        <row r="10">
          <cell r="B10" t="str">
            <v>KAB CIANJUR</v>
          </cell>
          <cell r="C10">
            <v>17</v>
          </cell>
          <cell r="D10">
            <v>14</v>
          </cell>
          <cell r="E10">
            <v>10</v>
          </cell>
          <cell r="F10">
            <v>13</v>
          </cell>
          <cell r="G10">
            <v>22</v>
          </cell>
          <cell r="H10">
            <v>17</v>
          </cell>
          <cell r="I10">
            <v>9</v>
          </cell>
          <cell r="J10">
            <v>10</v>
          </cell>
          <cell r="K10">
            <v>6</v>
          </cell>
          <cell r="L10">
            <v>8</v>
          </cell>
          <cell r="M10">
            <v>9</v>
          </cell>
          <cell r="N10">
            <v>34</v>
          </cell>
          <cell r="O10">
            <v>30</v>
          </cell>
          <cell r="P10">
            <v>6</v>
          </cell>
          <cell r="Q10">
            <v>208</v>
          </cell>
          <cell r="R10">
            <v>208</v>
          </cell>
          <cell r="S10">
            <v>176</v>
          </cell>
          <cell r="T10">
            <v>176</v>
          </cell>
          <cell r="U10">
            <v>175</v>
          </cell>
          <cell r="V10">
            <v>21</v>
          </cell>
          <cell r="W10">
            <v>0</v>
          </cell>
          <cell r="X10">
            <v>0</v>
          </cell>
          <cell r="Y10">
            <v>144</v>
          </cell>
          <cell r="Z10">
            <v>51</v>
          </cell>
          <cell r="AA10">
            <v>9</v>
          </cell>
          <cell r="AB10">
            <v>0</v>
          </cell>
          <cell r="AC10">
            <v>0</v>
          </cell>
          <cell r="AD10">
            <v>0</v>
          </cell>
          <cell r="AE10">
            <v>84.615384615384613</v>
          </cell>
        </row>
        <row r="11">
          <cell r="B11" t="str">
            <v>KAB BANDUNG</v>
          </cell>
          <cell r="C11">
            <v>64</v>
          </cell>
          <cell r="D11">
            <v>56</v>
          </cell>
          <cell r="E11">
            <v>32</v>
          </cell>
          <cell r="F11">
            <v>21</v>
          </cell>
          <cell r="G11">
            <v>80</v>
          </cell>
          <cell r="H11">
            <v>40</v>
          </cell>
          <cell r="I11">
            <v>13</v>
          </cell>
          <cell r="J11">
            <v>36</v>
          </cell>
          <cell r="K11">
            <v>39</v>
          </cell>
          <cell r="L11">
            <v>24</v>
          </cell>
          <cell r="M11">
            <v>25</v>
          </cell>
          <cell r="N11">
            <v>122</v>
          </cell>
          <cell r="O11">
            <v>70</v>
          </cell>
          <cell r="P11">
            <v>20</v>
          </cell>
          <cell r="Q11">
            <v>726</v>
          </cell>
          <cell r="R11">
            <v>726</v>
          </cell>
          <cell r="S11">
            <v>490</v>
          </cell>
          <cell r="T11">
            <v>490</v>
          </cell>
          <cell r="U11">
            <v>174</v>
          </cell>
          <cell r="V11">
            <v>9</v>
          </cell>
          <cell r="W11">
            <v>1</v>
          </cell>
          <cell r="X11">
            <v>0</v>
          </cell>
          <cell r="Y11">
            <v>295</v>
          </cell>
          <cell r="Z11">
            <v>388</v>
          </cell>
          <cell r="AA11">
            <v>28</v>
          </cell>
          <cell r="AB11">
            <v>15</v>
          </cell>
          <cell r="AC11">
            <v>7</v>
          </cell>
          <cell r="AD11">
            <v>1</v>
          </cell>
          <cell r="AE11">
            <v>67.493112947658403</v>
          </cell>
        </row>
        <row r="12">
          <cell r="B12" t="str">
            <v>KAB GARUT</v>
          </cell>
          <cell r="C12">
            <v>67</v>
          </cell>
          <cell r="D12">
            <v>106</v>
          </cell>
          <cell r="E12">
            <v>49</v>
          </cell>
          <cell r="F12">
            <v>19</v>
          </cell>
          <cell r="G12">
            <v>70</v>
          </cell>
          <cell r="H12">
            <v>30</v>
          </cell>
          <cell r="I12">
            <v>24</v>
          </cell>
          <cell r="J12">
            <v>38</v>
          </cell>
          <cell r="K12">
            <v>30</v>
          </cell>
          <cell r="L12">
            <v>22</v>
          </cell>
          <cell r="M12">
            <v>26</v>
          </cell>
          <cell r="N12">
            <v>94</v>
          </cell>
          <cell r="O12">
            <v>50</v>
          </cell>
          <cell r="P12">
            <v>24</v>
          </cell>
          <cell r="Q12">
            <v>705</v>
          </cell>
          <cell r="R12">
            <v>705</v>
          </cell>
          <cell r="S12">
            <v>529</v>
          </cell>
          <cell r="T12">
            <v>529</v>
          </cell>
          <cell r="U12">
            <v>222</v>
          </cell>
          <cell r="V12">
            <v>30</v>
          </cell>
          <cell r="W12">
            <v>0</v>
          </cell>
          <cell r="X12">
            <v>0</v>
          </cell>
          <cell r="Y12">
            <v>344</v>
          </cell>
          <cell r="Z12">
            <v>303</v>
          </cell>
          <cell r="AA12">
            <v>31</v>
          </cell>
          <cell r="AB12">
            <v>27</v>
          </cell>
          <cell r="AC12">
            <v>0</v>
          </cell>
          <cell r="AD12">
            <v>0</v>
          </cell>
          <cell r="AE12">
            <v>75.035460992907801</v>
          </cell>
        </row>
        <row r="13">
          <cell r="B13" t="str">
            <v>KAB TASIKMALAYA</v>
          </cell>
          <cell r="C13">
            <v>47</v>
          </cell>
          <cell r="D13">
            <v>33</v>
          </cell>
          <cell r="E13">
            <v>11</v>
          </cell>
          <cell r="F13">
            <v>8</v>
          </cell>
          <cell r="G13">
            <v>33</v>
          </cell>
          <cell r="H13">
            <v>20</v>
          </cell>
          <cell r="I13">
            <v>15</v>
          </cell>
          <cell r="J13">
            <v>26</v>
          </cell>
          <cell r="K13">
            <v>23</v>
          </cell>
          <cell r="L13">
            <v>7</v>
          </cell>
          <cell r="M13">
            <v>7</v>
          </cell>
          <cell r="N13">
            <v>52</v>
          </cell>
          <cell r="O13">
            <v>31</v>
          </cell>
          <cell r="P13">
            <v>15</v>
          </cell>
          <cell r="Q13">
            <v>353</v>
          </cell>
          <cell r="R13">
            <v>353</v>
          </cell>
          <cell r="S13">
            <v>73</v>
          </cell>
          <cell r="T13">
            <v>73</v>
          </cell>
          <cell r="U13">
            <v>50</v>
          </cell>
          <cell r="V13">
            <v>30</v>
          </cell>
          <cell r="W13">
            <v>0</v>
          </cell>
          <cell r="X13">
            <v>0</v>
          </cell>
          <cell r="Y13">
            <v>121</v>
          </cell>
          <cell r="Z13">
            <v>204</v>
          </cell>
          <cell r="AA13">
            <v>25</v>
          </cell>
          <cell r="AB13">
            <v>3</v>
          </cell>
          <cell r="AC13">
            <v>0</v>
          </cell>
          <cell r="AD13">
            <v>0</v>
          </cell>
          <cell r="AE13">
            <v>20.679886685552407</v>
          </cell>
        </row>
        <row r="14">
          <cell r="B14" t="str">
            <v>KAB CIAMIS</v>
          </cell>
          <cell r="C14">
            <v>25</v>
          </cell>
          <cell r="D14">
            <v>20</v>
          </cell>
          <cell r="E14">
            <v>15</v>
          </cell>
          <cell r="F14">
            <v>1</v>
          </cell>
          <cell r="G14">
            <v>25</v>
          </cell>
          <cell r="H14">
            <v>14</v>
          </cell>
          <cell r="I14">
            <v>16</v>
          </cell>
          <cell r="J14">
            <v>19</v>
          </cell>
          <cell r="K14">
            <v>15</v>
          </cell>
          <cell r="L14">
            <v>8</v>
          </cell>
          <cell r="M14">
            <v>4</v>
          </cell>
          <cell r="N14">
            <v>43</v>
          </cell>
          <cell r="O14">
            <v>29</v>
          </cell>
          <cell r="P14">
            <v>7</v>
          </cell>
          <cell r="Q14">
            <v>247</v>
          </cell>
          <cell r="R14">
            <v>247</v>
          </cell>
          <cell r="S14">
            <v>34</v>
          </cell>
          <cell r="T14">
            <v>34</v>
          </cell>
          <cell r="U14">
            <v>1</v>
          </cell>
          <cell r="V14">
            <v>1</v>
          </cell>
          <cell r="W14">
            <v>0</v>
          </cell>
          <cell r="X14">
            <v>0</v>
          </cell>
          <cell r="Y14">
            <v>38</v>
          </cell>
          <cell r="Z14">
            <v>187</v>
          </cell>
          <cell r="AA14">
            <v>18</v>
          </cell>
          <cell r="AB14">
            <v>4</v>
          </cell>
          <cell r="AC14">
            <v>0</v>
          </cell>
          <cell r="AD14">
            <v>0</v>
          </cell>
          <cell r="AE14">
            <v>13.765182186234817</v>
          </cell>
        </row>
        <row r="15">
          <cell r="B15" t="str">
            <v>KAB KUNINGAN</v>
          </cell>
          <cell r="C15">
            <v>40</v>
          </cell>
          <cell r="D15">
            <v>31</v>
          </cell>
          <cell r="E15">
            <v>8</v>
          </cell>
          <cell r="F15">
            <v>4</v>
          </cell>
          <cell r="G15">
            <v>42</v>
          </cell>
          <cell r="H15">
            <v>11</v>
          </cell>
          <cell r="I15">
            <v>7</v>
          </cell>
          <cell r="J15">
            <v>18</v>
          </cell>
          <cell r="K15">
            <v>13</v>
          </cell>
          <cell r="L15">
            <v>7</v>
          </cell>
          <cell r="M15">
            <v>4</v>
          </cell>
          <cell r="N15">
            <v>42</v>
          </cell>
          <cell r="O15">
            <v>41</v>
          </cell>
          <cell r="P15">
            <v>17</v>
          </cell>
          <cell r="Q15">
            <v>289</v>
          </cell>
          <cell r="R15">
            <v>289</v>
          </cell>
          <cell r="S15">
            <v>52</v>
          </cell>
          <cell r="T15">
            <v>52</v>
          </cell>
          <cell r="U15">
            <v>4</v>
          </cell>
          <cell r="V15">
            <v>2</v>
          </cell>
          <cell r="W15">
            <v>0</v>
          </cell>
          <cell r="X15">
            <v>0</v>
          </cell>
          <cell r="Y15">
            <v>64</v>
          </cell>
          <cell r="Z15">
            <v>204</v>
          </cell>
          <cell r="AA15">
            <v>13</v>
          </cell>
          <cell r="AB15">
            <v>8</v>
          </cell>
          <cell r="AC15">
            <v>0</v>
          </cell>
          <cell r="AD15">
            <v>0</v>
          </cell>
          <cell r="AE15">
            <v>17.993079584775089</v>
          </cell>
        </row>
        <row r="16">
          <cell r="B16" t="str">
            <v>KAB CIREBON</v>
          </cell>
          <cell r="C16">
            <v>4</v>
          </cell>
          <cell r="D16">
            <v>5</v>
          </cell>
          <cell r="E16">
            <v>4</v>
          </cell>
          <cell r="F16">
            <v>2</v>
          </cell>
          <cell r="G16">
            <v>41</v>
          </cell>
          <cell r="H16">
            <v>18</v>
          </cell>
          <cell r="I16">
            <v>3</v>
          </cell>
          <cell r="J16">
            <v>6</v>
          </cell>
          <cell r="K16">
            <v>3</v>
          </cell>
          <cell r="L16">
            <v>9</v>
          </cell>
          <cell r="M16">
            <v>8</v>
          </cell>
          <cell r="N16">
            <v>48</v>
          </cell>
          <cell r="O16">
            <v>13</v>
          </cell>
          <cell r="P16">
            <v>4</v>
          </cell>
          <cell r="Q16">
            <v>170</v>
          </cell>
          <cell r="R16">
            <v>170</v>
          </cell>
          <cell r="S16">
            <v>170</v>
          </cell>
          <cell r="T16">
            <v>170</v>
          </cell>
          <cell r="U16">
            <v>65</v>
          </cell>
          <cell r="V16">
            <v>0</v>
          </cell>
          <cell r="W16">
            <v>0</v>
          </cell>
          <cell r="X16">
            <v>0</v>
          </cell>
          <cell r="Y16">
            <v>33</v>
          </cell>
          <cell r="Z16">
            <v>130</v>
          </cell>
          <cell r="AA16">
            <v>6</v>
          </cell>
          <cell r="AB16">
            <v>1</v>
          </cell>
          <cell r="AC16">
            <v>0</v>
          </cell>
          <cell r="AD16">
            <v>0</v>
          </cell>
          <cell r="AE16">
            <v>100</v>
          </cell>
        </row>
        <row r="17">
          <cell r="B17" t="str">
            <v>KAB MAJALENGKA</v>
          </cell>
          <cell r="C17">
            <v>18</v>
          </cell>
          <cell r="D17">
            <v>31</v>
          </cell>
          <cell r="E17">
            <v>4</v>
          </cell>
          <cell r="F17">
            <v>3</v>
          </cell>
          <cell r="G17">
            <v>33</v>
          </cell>
          <cell r="H17">
            <v>27</v>
          </cell>
          <cell r="I17">
            <v>11</v>
          </cell>
          <cell r="J17">
            <v>21</v>
          </cell>
          <cell r="K17">
            <v>12</v>
          </cell>
          <cell r="L17">
            <v>8</v>
          </cell>
          <cell r="M17">
            <v>7</v>
          </cell>
          <cell r="N17">
            <v>38</v>
          </cell>
          <cell r="O17">
            <v>10</v>
          </cell>
          <cell r="P17">
            <v>12</v>
          </cell>
          <cell r="Q17">
            <v>247</v>
          </cell>
          <cell r="R17">
            <v>247</v>
          </cell>
          <cell r="S17">
            <v>60</v>
          </cell>
          <cell r="T17">
            <v>60</v>
          </cell>
          <cell r="U17">
            <v>18</v>
          </cell>
          <cell r="V17">
            <v>13</v>
          </cell>
          <cell r="W17">
            <v>0</v>
          </cell>
          <cell r="X17">
            <v>0</v>
          </cell>
          <cell r="Y17">
            <v>42</v>
          </cell>
          <cell r="Z17">
            <v>186</v>
          </cell>
          <cell r="AA17">
            <v>12</v>
          </cell>
          <cell r="AB17">
            <v>7</v>
          </cell>
          <cell r="AC17">
            <v>0</v>
          </cell>
          <cell r="AD17">
            <v>0</v>
          </cell>
          <cell r="AE17">
            <v>24.291497975708502</v>
          </cell>
        </row>
        <row r="18">
          <cell r="B18" t="str">
            <v>KAB SUMEDANG</v>
          </cell>
          <cell r="C18">
            <v>29</v>
          </cell>
          <cell r="D18">
            <v>35</v>
          </cell>
          <cell r="E18">
            <v>31</v>
          </cell>
          <cell r="F18">
            <v>13</v>
          </cell>
          <cell r="G18">
            <v>44</v>
          </cell>
          <cell r="H18">
            <v>30</v>
          </cell>
          <cell r="I18">
            <v>17</v>
          </cell>
          <cell r="J18">
            <v>22</v>
          </cell>
          <cell r="K18">
            <v>22</v>
          </cell>
          <cell r="L18">
            <v>12</v>
          </cell>
          <cell r="M18">
            <v>10</v>
          </cell>
          <cell r="N18">
            <v>87</v>
          </cell>
          <cell r="O18">
            <v>37</v>
          </cell>
          <cell r="P18">
            <v>28</v>
          </cell>
          <cell r="Q18">
            <v>418</v>
          </cell>
          <cell r="R18">
            <v>418</v>
          </cell>
          <cell r="S18">
            <v>81</v>
          </cell>
          <cell r="T18">
            <v>81</v>
          </cell>
          <cell r="U18">
            <v>79</v>
          </cell>
          <cell r="V18">
            <v>35</v>
          </cell>
          <cell r="W18">
            <v>0</v>
          </cell>
          <cell r="X18">
            <v>0</v>
          </cell>
          <cell r="Y18">
            <v>177</v>
          </cell>
          <cell r="Z18">
            <v>211</v>
          </cell>
          <cell r="AA18">
            <v>15</v>
          </cell>
          <cell r="AB18">
            <v>15</v>
          </cell>
          <cell r="AC18">
            <v>0</v>
          </cell>
          <cell r="AD18">
            <v>0</v>
          </cell>
          <cell r="AE18">
            <v>19.37799043062201</v>
          </cell>
        </row>
        <row r="19">
          <cell r="B19" t="str">
            <v>KAB INDRAMAYU</v>
          </cell>
          <cell r="C19">
            <v>9</v>
          </cell>
          <cell r="D19">
            <v>13</v>
          </cell>
          <cell r="E19">
            <v>12</v>
          </cell>
          <cell r="F19">
            <v>3</v>
          </cell>
          <cell r="G19">
            <v>13</v>
          </cell>
          <cell r="H19">
            <v>5</v>
          </cell>
          <cell r="I19">
            <v>3</v>
          </cell>
          <cell r="J19">
            <v>3</v>
          </cell>
          <cell r="K19">
            <v>1</v>
          </cell>
          <cell r="L19">
            <v>9</v>
          </cell>
          <cell r="M19">
            <v>4</v>
          </cell>
          <cell r="N19">
            <v>26</v>
          </cell>
          <cell r="O19">
            <v>10</v>
          </cell>
          <cell r="P19">
            <v>1</v>
          </cell>
          <cell r="Q19">
            <v>127</v>
          </cell>
          <cell r="R19">
            <v>127</v>
          </cell>
          <cell r="S19">
            <v>107</v>
          </cell>
          <cell r="T19">
            <v>107</v>
          </cell>
          <cell r="U19">
            <v>74</v>
          </cell>
          <cell r="V19">
            <v>35</v>
          </cell>
          <cell r="W19">
            <v>0</v>
          </cell>
          <cell r="X19">
            <v>0</v>
          </cell>
          <cell r="Y19">
            <v>33</v>
          </cell>
          <cell r="Z19">
            <v>70</v>
          </cell>
          <cell r="AA19">
            <v>15</v>
          </cell>
          <cell r="AB19">
            <v>9</v>
          </cell>
          <cell r="AC19">
            <v>0</v>
          </cell>
          <cell r="AD19">
            <v>0</v>
          </cell>
          <cell r="AE19">
            <v>84.251968503937007</v>
          </cell>
        </row>
        <row r="20">
          <cell r="B20" t="str">
            <v>KAB SUBANG</v>
          </cell>
          <cell r="C20">
            <v>13</v>
          </cell>
          <cell r="D20">
            <v>22</v>
          </cell>
          <cell r="E20">
            <v>8</v>
          </cell>
          <cell r="F20">
            <v>10</v>
          </cell>
          <cell r="G20">
            <v>31</v>
          </cell>
          <cell r="H20">
            <v>15</v>
          </cell>
          <cell r="I20">
            <v>4</v>
          </cell>
          <cell r="J20">
            <v>12</v>
          </cell>
          <cell r="K20">
            <v>17</v>
          </cell>
          <cell r="L20">
            <v>3</v>
          </cell>
          <cell r="M20">
            <v>8</v>
          </cell>
          <cell r="N20">
            <v>32</v>
          </cell>
          <cell r="O20">
            <v>25</v>
          </cell>
          <cell r="P20">
            <v>8</v>
          </cell>
          <cell r="Q20">
            <v>213</v>
          </cell>
          <cell r="R20">
            <v>213</v>
          </cell>
          <cell r="S20">
            <v>33</v>
          </cell>
          <cell r="T20">
            <v>33</v>
          </cell>
          <cell r="U20">
            <v>3</v>
          </cell>
          <cell r="V20">
            <v>2</v>
          </cell>
          <cell r="W20">
            <v>0</v>
          </cell>
          <cell r="X20">
            <v>0</v>
          </cell>
          <cell r="Y20">
            <v>53</v>
          </cell>
          <cell r="Z20">
            <v>145</v>
          </cell>
          <cell r="AA20">
            <v>12</v>
          </cell>
          <cell r="AB20">
            <v>3</v>
          </cell>
          <cell r="AC20">
            <v>0</v>
          </cell>
          <cell r="AD20">
            <v>0</v>
          </cell>
          <cell r="AE20">
            <v>15.492957746478872</v>
          </cell>
        </row>
        <row r="21">
          <cell r="B21" t="str">
            <v>KAB PURWAKARTA</v>
          </cell>
          <cell r="C21">
            <v>13</v>
          </cell>
          <cell r="D21">
            <v>13</v>
          </cell>
          <cell r="E21">
            <v>7</v>
          </cell>
          <cell r="F21">
            <v>2</v>
          </cell>
          <cell r="G21">
            <v>25</v>
          </cell>
          <cell r="H21">
            <v>7</v>
          </cell>
          <cell r="I21">
            <v>2</v>
          </cell>
          <cell r="J21">
            <v>19</v>
          </cell>
          <cell r="K21">
            <v>13</v>
          </cell>
          <cell r="L21">
            <v>7</v>
          </cell>
          <cell r="M21">
            <v>4</v>
          </cell>
          <cell r="N21">
            <v>41</v>
          </cell>
          <cell r="O21">
            <v>23</v>
          </cell>
          <cell r="P21">
            <v>1</v>
          </cell>
          <cell r="Q21">
            <v>177</v>
          </cell>
          <cell r="R21">
            <v>177</v>
          </cell>
          <cell r="S21">
            <v>177</v>
          </cell>
          <cell r="T21">
            <v>177</v>
          </cell>
          <cell r="U21">
            <v>5</v>
          </cell>
          <cell r="V21">
            <v>0</v>
          </cell>
          <cell r="W21">
            <v>0</v>
          </cell>
          <cell r="X21">
            <v>0</v>
          </cell>
          <cell r="Y21">
            <v>31</v>
          </cell>
          <cell r="Z21">
            <v>135</v>
          </cell>
          <cell r="AA21">
            <v>9</v>
          </cell>
          <cell r="AB21">
            <v>2</v>
          </cell>
          <cell r="AC21">
            <v>0</v>
          </cell>
          <cell r="AD21">
            <v>0</v>
          </cell>
          <cell r="AE21">
            <v>100</v>
          </cell>
        </row>
        <row r="22">
          <cell r="B22" t="str">
            <v>KAB KARAWANG</v>
          </cell>
          <cell r="C22">
            <v>7</v>
          </cell>
          <cell r="D22">
            <v>14</v>
          </cell>
          <cell r="E22">
            <v>8</v>
          </cell>
          <cell r="F22">
            <v>2</v>
          </cell>
          <cell r="G22">
            <v>18</v>
          </cell>
          <cell r="H22">
            <v>10</v>
          </cell>
          <cell r="I22">
            <v>6</v>
          </cell>
          <cell r="J22">
            <v>13</v>
          </cell>
          <cell r="K22">
            <v>5</v>
          </cell>
          <cell r="L22">
            <v>5</v>
          </cell>
          <cell r="M22">
            <v>8</v>
          </cell>
          <cell r="N22">
            <v>20</v>
          </cell>
          <cell r="O22">
            <v>12</v>
          </cell>
          <cell r="P22">
            <v>2</v>
          </cell>
          <cell r="Q22">
            <v>134</v>
          </cell>
          <cell r="R22">
            <v>134</v>
          </cell>
          <cell r="S22">
            <v>130</v>
          </cell>
          <cell r="T22">
            <v>130</v>
          </cell>
          <cell r="U22">
            <v>111</v>
          </cell>
          <cell r="V22">
            <v>101</v>
          </cell>
          <cell r="W22">
            <v>0</v>
          </cell>
          <cell r="X22">
            <v>0</v>
          </cell>
          <cell r="Y22">
            <v>47</v>
          </cell>
          <cell r="Z22">
            <v>67</v>
          </cell>
          <cell r="AA22">
            <v>18</v>
          </cell>
          <cell r="AB22">
            <v>2</v>
          </cell>
          <cell r="AC22">
            <v>0</v>
          </cell>
          <cell r="AD22">
            <v>0</v>
          </cell>
          <cell r="AE22">
            <v>97.014925373134332</v>
          </cell>
        </row>
        <row r="23">
          <cell r="B23" t="str">
            <v>KAB BEKASI</v>
          </cell>
          <cell r="C23">
            <v>13</v>
          </cell>
          <cell r="D23">
            <v>17</v>
          </cell>
          <cell r="E23">
            <v>7</v>
          </cell>
          <cell r="F23">
            <v>5</v>
          </cell>
          <cell r="G23">
            <v>16</v>
          </cell>
          <cell r="H23">
            <v>12</v>
          </cell>
          <cell r="I23">
            <v>6</v>
          </cell>
          <cell r="J23">
            <v>5</v>
          </cell>
          <cell r="K23">
            <v>6</v>
          </cell>
          <cell r="L23">
            <v>4</v>
          </cell>
          <cell r="M23">
            <v>6</v>
          </cell>
          <cell r="N23">
            <v>24</v>
          </cell>
          <cell r="O23">
            <v>10</v>
          </cell>
          <cell r="P23">
            <v>4</v>
          </cell>
          <cell r="Q23">
            <v>132</v>
          </cell>
          <cell r="R23">
            <v>132</v>
          </cell>
          <cell r="S23">
            <v>116</v>
          </cell>
          <cell r="T23">
            <v>116</v>
          </cell>
          <cell r="U23">
            <v>105</v>
          </cell>
          <cell r="V23">
            <v>45</v>
          </cell>
          <cell r="W23">
            <v>0</v>
          </cell>
          <cell r="X23">
            <v>0</v>
          </cell>
          <cell r="Y23">
            <v>52</v>
          </cell>
          <cell r="Z23">
            <v>71</v>
          </cell>
          <cell r="AA23">
            <v>9</v>
          </cell>
          <cell r="AB23">
            <v>0</v>
          </cell>
          <cell r="AC23">
            <v>0</v>
          </cell>
          <cell r="AD23">
            <v>0</v>
          </cell>
          <cell r="AE23">
            <v>87.878787878787875</v>
          </cell>
        </row>
        <row r="24">
          <cell r="B24" t="str">
            <v>KAB BANDUNG BARAT</v>
          </cell>
          <cell r="C24">
            <v>26</v>
          </cell>
          <cell r="D24">
            <v>23</v>
          </cell>
          <cell r="E24">
            <v>12</v>
          </cell>
          <cell r="F24">
            <v>5</v>
          </cell>
          <cell r="G24">
            <v>16</v>
          </cell>
          <cell r="H24">
            <v>11</v>
          </cell>
          <cell r="I24">
            <v>6</v>
          </cell>
          <cell r="J24">
            <v>14</v>
          </cell>
          <cell r="K24">
            <v>7</v>
          </cell>
          <cell r="L24">
            <v>9</v>
          </cell>
          <cell r="M24">
            <v>9</v>
          </cell>
          <cell r="N24">
            <v>30</v>
          </cell>
          <cell r="O24">
            <v>15</v>
          </cell>
          <cell r="P24">
            <v>8</v>
          </cell>
          <cell r="Q24">
            <v>189</v>
          </cell>
          <cell r="R24">
            <v>189</v>
          </cell>
          <cell r="S24">
            <v>117</v>
          </cell>
          <cell r="T24">
            <v>117</v>
          </cell>
          <cell r="U24">
            <v>27</v>
          </cell>
          <cell r="V24">
            <v>5</v>
          </cell>
          <cell r="W24">
            <v>0</v>
          </cell>
          <cell r="X24">
            <v>0</v>
          </cell>
          <cell r="Y24">
            <v>76</v>
          </cell>
          <cell r="Z24">
            <v>92</v>
          </cell>
          <cell r="AA24">
            <v>10</v>
          </cell>
          <cell r="AB24">
            <v>11</v>
          </cell>
          <cell r="AC24">
            <v>0</v>
          </cell>
          <cell r="AD24">
            <v>0</v>
          </cell>
          <cell r="AE24">
            <v>61.904761904761905</v>
          </cell>
        </row>
        <row r="25">
          <cell r="B25" t="str">
            <v>KAB PANGANDARAN</v>
          </cell>
          <cell r="C25">
            <v>10</v>
          </cell>
          <cell r="D25">
            <v>15</v>
          </cell>
          <cell r="E25">
            <v>3</v>
          </cell>
          <cell r="F25">
            <v>4</v>
          </cell>
          <cell r="G25">
            <v>25</v>
          </cell>
          <cell r="H25">
            <v>25</v>
          </cell>
          <cell r="I25">
            <v>7</v>
          </cell>
          <cell r="J25">
            <v>15</v>
          </cell>
          <cell r="K25">
            <v>5</v>
          </cell>
          <cell r="L25">
            <v>8</v>
          </cell>
          <cell r="M25">
            <v>3</v>
          </cell>
          <cell r="N25">
            <v>41</v>
          </cell>
          <cell r="O25">
            <v>22</v>
          </cell>
          <cell r="P25">
            <v>12</v>
          </cell>
          <cell r="Q25">
            <v>200</v>
          </cell>
          <cell r="R25">
            <v>200</v>
          </cell>
          <cell r="S25">
            <v>157</v>
          </cell>
          <cell r="T25">
            <v>157</v>
          </cell>
          <cell r="U25">
            <v>11</v>
          </cell>
          <cell r="V25">
            <v>7</v>
          </cell>
          <cell r="W25">
            <v>4</v>
          </cell>
          <cell r="X25">
            <v>0</v>
          </cell>
          <cell r="Y25">
            <v>51</v>
          </cell>
          <cell r="Z25">
            <v>118</v>
          </cell>
          <cell r="AA25">
            <v>24</v>
          </cell>
          <cell r="AB25">
            <v>7</v>
          </cell>
          <cell r="AC25">
            <v>0</v>
          </cell>
          <cell r="AD25">
            <v>0</v>
          </cell>
          <cell r="AE25">
            <v>78.5</v>
          </cell>
        </row>
        <row r="26">
          <cell r="B26" t="str">
            <v>KOTA BOGOR</v>
          </cell>
          <cell r="C26">
            <v>19</v>
          </cell>
          <cell r="D26">
            <v>24</v>
          </cell>
          <cell r="E26">
            <v>16</v>
          </cell>
          <cell r="F26">
            <v>10</v>
          </cell>
          <cell r="G26">
            <v>54</v>
          </cell>
          <cell r="H26">
            <v>35</v>
          </cell>
          <cell r="I26">
            <v>11</v>
          </cell>
          <cell r="J26">
            <v>23</v>
          </cell>
          <cell r="K26">
            <v>20</v>
          </cell>
          <cell r="L26">
            <v>10</v>
          </cell>
          <cell r="M26">
            <v>15</v>
          </cell>
          <cell r="N26">
            <v>85</v>
          </cell>
          <cell r="O26">
            <v>87</v>
          </cell>
          <cell r="P26">
            <v>11</v>
          </cell>
          <cell r="Q26">
            <v>400</v>
          </cell>
          <cell r="R26">
            <v>400</v>
          </cell>
          <cell r="S26">
            <v>326</v>
          </cell>
          <cell r="T26">
            <v>326</v>
          </cell>
          <cell r="U26">
            <v>112</v>
          </cell>
          <cell r="V26">
            <v>20</v>
          </cell>
          <cell r="W26">
            <v>2</v>
          </cell>
          <cell r="X26">
            <v>0</v>
          </cell>
          <cell r="Y26">
            <v>111</v>
          </cell>
          <cell r="Z26">
            <v>259</v>
          </cell>
          <cell r="AA26">
            <v>22</v>
          </cell>
          <cell r="AB26">
            <v>8</v>
          </cell>
          <cell r="AC26">
            <v>0</v>
          </cell>
          <cell r="AD26">
            <v>0</v>
          </cell>
          <cell r="AE26">
            <v>81.5</v>
          </cell>
        </row>
        <row r="27">
          <cell r="B27" t="str">
            <v>KOTA SUKABUMI</v>
          </cell>
          <cell r="C27">
            <v>38</v>
          </cell>
          <cell r="D27">
            <v>44</v>
          </cell>
          <cell r="E27">
            <v>13</v>
          </cell>
          <cell r="F27">
            <v>11</v>
          </cell>
          <cell r="G27">
            <v>43</v>
          </cell>
          <cell r="H27">
            <v>30</v>
          </cell>
          <cell r="I27">
            <v>7</v>
          </cell>
          <cell r="J27">
            <v>27</v>
          </cell>
          <cell r="K27">
            <v>34</v>
          </cell>
          <cell r="L27">
            <v>10</v>
          </cell>
          <cell r="M27">
            <v>8</v>
          </cell>
          <cell r="N27">
            <v>64</v>
          </cell>
          <cell r="O27">
            <v>42</v>
          </cell>
          <cell r="P27">
            <v>9</v>
          </cell>
          <cell r="Q27">
            <v>380</v>
          </cell>
          <cell r="R27">
            <v>380</v>
          </cell>
          <cell r="S27">
            <v>379</v>
          </cell>
          <cell r="T27">
            <v>379</v>
          </cell>
          <cell r="U27">
            <v>4</v>
          </cell>
          <cell r="V27">
            <v>1</v>
          </cell>
          <cell r="W27">
            <v>0</v>
          </cell>
          <cell r="X27">
            <v>0</v>
          </cell>
          <cell r="Y27">
            <v>101</v>
          </cell>
          <cell r="Z27">
            <v>253</v>
          </cell>
          <cell r="AA27">
            <v>20</v>
          </cell>
          <cell r="AB27">
            <v>6</v>
          </cell>
          <cell r="AC27">
            <v>1</v>
          </cell>
          <cell r="AD27">
            <v>0</v>
          </cell>
          <cell r="AE27">
            <v>99.73684210526315</v>
          </cell>
        </row>
        <row r="28">
          <cell r="B28" t="str">
            <v>KOTA BANDUNG</v>
          </cell>
          <cell r="C28">
            <v>61</v>
          </cell>
          <cell r="D28">
            <v>87</v>
          </cell>
          <cell r="E28">
            <v>39</v>
          </cell>
          <cell r="F28">
            <v>26</v>
          </cell>
          <cell r="G28">
            <v>142</v>
          </cell>
          <cell r="H28">
            <v>56</v>
          </cell>
          <cell r="I28">
            <v>21</v>
          </cell>
          <cell r="J28">
            <v>40</v>
          </cell>
          <cell r="K28">
            <v>28</v>
          </cell>
          <cell r="L28">
            <v>13</v>
          </cell>
          <cell r="M28">
            <v>21</v>
          </cell>
          <cell r="N28">
            <v>134</v>
          </cell>
          <cell r="O28">
            <v>98</v>
          </cell>
          <cell r="P28">
            <v>37</v>
          </cell>
          <cell r="Q28">
            <v>781</v>
          </cell>
          <cell r="R28">
            <v>781</v>
          </cell>
          <cell r="S28">
            <v>472</v>
          </cell>
          <cell r="T28">
            <v>472</v>
          </cell>
          <cell r="U28">
            <v>129</v>
          </cell>
          <cell r="V28">
            <v>34</v>
          </cell>
          <cell r="W28">
            <v>3</v>
          </cell>
          <cell r="X28">
            <v>0</v>
          </cell>
          <cell r="Y28">
            <v>283</v>
          </cell>
          <cell r="Z28">
            <v>410</v>
          </cell>
          <cell r="AA28">
            <v>40</v>
          </cell>
          <cell r="AB28">
            <v>48</v>
          </cell>
          <cell r="AC28">
            <v>2</v>
          </cell>
          <cell r="AD28">
            <v>0</v>
          </cell>
          <cell r="AE28">
            <v>60.435339308578747</v>
          </cell>
        </row>
        <row r="29">
          <cell r="B29" t="str">
            <v>KOTA CIREBON</v>
          </cell>
          <cell r="C29">
            <v>34</v>
          </cell>
          <cell r="D29">
            <v>33</v>
          </cell>
          <cell r="E29">
            <v>20</v>
          </cell>
          <cell r="F29">
            <v>9</v>
          </cell>
          <cell r="G29">
            <v>33</v>
          </cell>
          <cell r="H29">
            <v>33</v>
          </cell>
          <cell r="I29">
            <v>14</v>
          </cell>
          <cell r="J29">
            <v>26</v>
          </cell>
          <cell r="K29">
            <v>20</v>
          </cell>
          <cell r="L29">
            <v>13</v>
          </cell>
          <cell r="M29">
            <v>21</v>
          </cell>
          <cell r="N29">
            <v>88</v>
          </cell>
          <cell r="O29">
            <v>33</v>
          </cell>
          <cell r="P29">
            <v>21</v>
          </cell>
          <cell r="Q29">
            <v>403</v>
          </cell>
          <cell r="R29">
            <v>403</v>
          </cell>
          <cell r="S29">
            <v>341</v>
          </cell>
          <cell r="T29">
            <v>341</v>
          </cell>
          <cell r="U29">
            <v>69</v>
          </cell>
          <cell r="V29">
            <v>23</v>
          </cell>
          <cell r="W29">
            <v>1</v>
          </cell>
          <cell r="X29">
            <v>0</v>
          </cell>
          <cell r="Y29">
            <v>100</v>
          </cell>
          <cell r="Z29">
            <v>235</v>
          </cell>
          <cell r="AA29">
            <v>18</v>
          </cell>
          <cell r="AB29">
            <v>14</v>
          </cell>
          <cell r="AC29">
            <v>0</v>
          </cell>
          <cell r="AD29">
            <v>0</v>
          </cell>
          <cell r="AE29">
            <v>84.615384615384613</v>
          </cell>
        </row>
        <row r="30">
          <cell r="B30" t="str">
            <v>KOTA BEKASI</v>
          </cell>
          <cell r="C30">
            <v>54</v>
          </cell>
          <cell r="D30">
            <v>54</v>
          </cell>
          <cell r="E30">
            <v>24</v>
          </cell>
          <cell r="F30">
            <v>15</v>
          </cell>
          <cell r="G30">
            <v>95</v>
          </cell>
          <cell r="H30">
            <v>50</v>
          </cell>
          <cell r="I30">
            <v>19</v>
          </cell>
          <cell r="J30">
            <v>28</v>
          </cell>
          <cell r="K30">
            <v>31</v>
          </cell>
          <cell r="L30">
            <v>23</v>
          </cell>
          <cell r="M30">
            <v>15</v>
          </cell>
          <cell r="N30">
            <v>133</v>
          </cell>
          <cell r="O30">
            <v>113</v>
          </cell>
          <cell r="P30">
            <v>29</v>
          </cell>
          <cell r="Q30">
            <v>683</v>
          </cell>
          <cell r="R30">
            <v>683</v>
          </cell>
          <cell r="S30">
            <v>378</v>
          </cell>
          <cell r="T30">
            <v>378</v>
          </cell>
          <cell r="U30">
            <v>147</v>
          </cell>
          <cell r="V30">
            <v>70</v>
          </cell>
          <cell r="W30">
            <v>0</v>
          </cell>
          <cell r="X30">
            <v>0</v>
          </cell>
          <cell r="Y30">
            <v>228</v>
          </cell>
          <cell r="Z30">
            <v>406</v>
          </cell>
          <cell r="AA30">
            <v>21</v>
          </cell>
          <cell r="AB30">
            <v>28</v>
          </cell>
          <cell r="AC30">
            <v>0</v>
          </cell>
          <cell r="AD30">
            <v>0</v>
          </cell>
          <cell r="AE30">
            <v>55.344070278184475</v>
          </cell>
        </row>
        <row r="31">
          <cell r="B31" t="str">
            <v>KOTA DEPOK</v>
          </cell>
          <cell r="C31">
            <v>20</v>
          </cell>
          <cell r="D31">
            <v>15</v>
          </cell>
          <cell r="E31">
            <v>12</v>
          </cell>
          <cell r="F31">
            <v>3</v>
          </cell>
          <cell r="G31">
            <v>36</v>
          </cell>
          <cell r="H31">
            <v>16</v>
          </cell>
          <cell r="I31">
            <v>1</v>
          </cell>
          <cell r="J31">
            <v>7</v>
          </cell>
          <cell r="K31">
            <v>5</v>
          </cell>
          <cell r="L31">
            <v>9</v>
          </cell>
          <cell r="M31">
            <v>4</v>
          </cell>
          <cell r="N31">
            <v>47</v>
          </cell>
          <cell r="O31">
            <v>31</v>
          </cell>
          <cell r="P31">
            <v>8</v>
          </cell>
          <cell r="Q31">
            <v>215</v>
          </cell>
          <cell r="R31">
            <v>215</v>
          </cell>
          <cell r="S31">
            <v>54</v>
          </cell>
          <cell r="T31">
            <v>54</v>
          </cell>
          <cell r="U31">
            <v>14</v>
          </cell>
          <cell r="V31">
            <v>3</v>
          </cell>
          <cell r="W31">
            <v>0</v>
          </cell>
          <cell r="X31">
            <v>0</v>
          </cell>
          <cell r="Y31">
            <v>42</v>
          </cell>
          <cell r="Z31">
            <v>144</v>
          </cell>
          <cell r="AA31">
            <v>16</v>
          </cell>
          <cell r="AB31">
            <v>13</v>
          </cell>
          <cell r="AC31">
            <v>0</v>
          </cell>
          <cell r="AD31">
            <v>0</v>
          </cell>
          <cell r="AE31">
            <v>25.116279069767444</v>
          </cell>
        </row>
        <row r="32">
          <cell r="B32" t="str">
            <v>KOTA CIMAHI</v>
          </cell>
          <cell r="C32">
            <v>7</v>
          </cell>
          <cell r="D32">
            <v>1</v>
          </cell>
          <cell r="E32">
            <v>4</v>
          </cell>
          <cell r="F32">
            <v>6</v>
          </cell>
          <cell r="G32">
            <v>14</v>
          </cell>
          <cell r="H32">
            <v>8</v>
          </cell>
          <cell r="I32">
            <v>5</v>
          </cell>
          <cell r="J32">
            <v>5</v>
          </cell>
          <cell r="K32">
            <v>6</v>
          </cell>
          <cell r="L32">
            <v>1</v>
          </cell>
          <cell r="M32">
            <v>4</v>
          </cell>
          <cell r="N32">
            <v>20</v>
          </cell>
          <cell r="O32">
            <v>11</v>
          </cell>
          <cell r="P32">
            <v>5</v>
          </cell>
          <cell r="Q32">
            <v>97</v>
          </cell>
          <cell r="R32">
            <v>97</v>
          </cell>
          <cell r="S32">
            <v>54</v>
          </cell>
          <cell r="T32">
            <v>54</v>
          </cell>
          <cell r="U32">
            <v>39</v>
          </cell>
          <cell r="V32">
            <v>15</v>
          </cell>
          <cell r="W32">
            <v>0</v>
          </cell>
          <cell r="X32">
            <v>0</v>
          </cell>
          <cell r="Y32">
            <v>19</v>
          </cell>
          <cell r="Z32">
            <v>73</v>
          </cell>
          <cell r="AA32">
            <v>3</v>
          </cell>
          <cell r="AB32">
            <v>2</v>
          </cell>
          <cell r="AC32">
            <v>0</v>
          </cell>
          <cell r="AD32">
            <v>0</v>
          </cell>
          <cell r="AE32">
            <v>55.670103092783506</v>
          </cell>
        </row>
        <row r="33">
          <cell r="B33" t="str">
            <v>KOTA TASIKMALAYA</v>
          </cell>
          <cell r="C33">
            <v>7</v>
          </cell>
          <cell r="D33">
            <v>9</v>
          </cell>
          <cell r="E33">
            <v>12</v>
          </cell>
          <cell r="F33">
            <v>4</v>
          </cell>
          <cell r="G33">
            <v>12</v>
          </cell>
          <cell r="H33">
            <v>12</v>
          </cell>
          <cell r="I33">
            <v>3</v>
          </cell>
          <cell r="J33">
            <v>5</v>
          </cell>
          <cell r="K33">
            <v>14</v>
          </cell>
          <cell r="L33">
            <v>2</v>
          </cell>
          <cell r="M33">
            <v>4</v>
          </cell>
          <cell r="N33">
            <v>27</v>
          </cell>
          <cell r="O33">
            <v>12</v>
          </cell>
          <cell r="P33">
            <v>4</v>
          </cell>
          <cell r="Q33">
            <v>128</v>
          </cell>
          <cell r="R33">
            <v>128</v>
          </cell>
          <cell r="S33">
            <v>41</v>
          </cell>
          <cell r="T33">
            <v>41</v>
          </cell>
          <cell r="U33">
            <v>26</v>
          </cell>
          <cell r="V33">
            <v>6</v>
          </cell>
          <cell r="W33">
            <v>0</v>
          </cell>
          <cell r="X33">
            <v>0</v>
          </cell>
          <cell r="Y33">
            <v>28</v>
          </cell>
          <cell r="Z33">
            <v>93</v>
          </cell>
          <cell r="AA33">
            <v>3</v>
          </cell>
          <cell r="AB33">
            <v>4</v>
          </cell>
          <cell r="AC33">
            <v>0</v>
          </cell>
          <cell r="AD33">
            <v>0</v>
          </cell>
          <cell r="AE33">
            <v>32.03125</v>
          </cell>
        </row>
        <row r="34">
          <cell r="B34" t="str">
            <v>KOTA BANJAR</v>
          </cell>
          <cell r="C34">
            <v>14</v>
          </cell>
          <cell r="D34">
            <v>20</v>
          </cell>
          <cell r="E34">
            <v>4</v>
          </cell>
          <cell r="F34">
            <v>6</v>
          </cell>
          <cell r="G34">
            <v>14</v>
          </cell>
          <cell r="H34">
            <v>4</v>
          </cell>
          <cell r="I34">
            <v>1</v>
          </cell>
          <cell r="J34">
            <v>8</v>
          </cell>
          <cell r="K34">
            <v>6</v>
          </cell>
          <cell r="L34">
            <v>4</v>
          </cell>
          <cell r="M34">
            <v>6</v>
          </cell>
          <cell r="N34">
            <v>21</v>
          </cell>
          <cell r="O34">
            <v>14</v>
          </cell>
          <cell r="P34">
            <v>6</v>
          </cell>
          <cell r="Q34">
            <v>128</v>
          </cell>
          <cell r="R34">
            <v>128</v>
          </cell>
          <cell r="S34">
            <v>68</v>
          </cell>
          <cell r="T34">
            <v>68</v>
          </cell>
          <cell r="U34">
            <v>87</v>
          </cell>
          <cell r="V34">
            <v>0</v>
          </cell>
          <cell r="W34">
            <v>0</v>
          </cell>
          <cell r="X34">
            <v>0</v>
          </cell>
          <cell r="Y34">
            <v>24</v>
          </cell>
          <cell r="Z34">
            <v>98</v>
          </cell>
          <cell r="AA34">
            <v>4</v>
          </cell>
          <cell r="AB34">
            <v>2</v>
          </cell>
          <cell r="AC34">
            <v>0</v>
          </cell>
          <cell r="AD34">
            <v>0</v>
          </cell>
          <cell r="AE34">
            <v>53.125</v>
          </cell>
        </row>
        <row r="35">
          <cell r="B35" t="str">
            <v>JUMLAH (KAB/KOTA)</v>
          </cell>
          <cell r="C35">
            <v>730</v>
          </cell>
          <cell r="D35">
            <v>847</v>
          </cell>
          <cell r="E35">
            <v>416</v>
          </cell>
          <cell r="F35">
            <v>233</v>
          </cell>
          <cell r="G35">
            <v>1106</v>
          </cell>
          <cell r="H35">
            <v>610</v>
          </cell>
          <cell r="I35">
            <v>246</v>
          </cell>
          <cell r="J35">
            <v>476</v>
          </cell>
          <cell r="K35">
            <v>469</v>
          </cell>
          <cell r="L35">
            <v>254</v>
          </cell>
          <cell r="M35">
            <v>275</v>
          </cell>
          <cell r="N35">
            <v>1452</v>
          </cell>
          <cell r="O35">
            <v>884</v>
          </cell>
          <cell r="P35">
            <v>304</v>
          </cell>
          <cell r="Q35">
            <v>8402</v>
          </cell>
          <cell r="R35">
            <v>8402</v>
          </cell>
          <cell r="S35">
            <v>5123</v>
          </cell>
          <cell r="T35">
            <v>5022</v>
          </cell>
          <cell r="U35">
            <v>1931</v>
          </cell>
          <cell r="V35">
            <v>588</v>
          </cell>
          <cell r="W35">
            <v>11</v>
          </cell>
          <cell r="X35">
            <v>0</v>
          </cell>
          <cell r="Y35">
            <v>2802</v>
          </cell>
          <cell r="Z35">
            <v>4916</v>
          </cell>
          <cell r="AA35">
            <v>432</v>
          </cell>
          <cell r="AB35">
            <v>252</v>
          </cell>
          <cell r="AC35">
            <v>10</v>
          </cell>
          <cell r="AD35">
            <v>1</v>
          </cell>
          <cell r="AE35">
            <v>60.97357771959058</v>
          </cell>
        </row>
      </sheetData>
      <sheetData sheetId="9">
        <row r="3">
          <cell r="B3" t="str">
            <v>Kab Kota</v>
          </cell>
          <cell r="C3" t="str">
            <v>PERSENTASI STUNTING</v>
          </cell>
        </row>
        <row r="4">
          <cell r="C4">
            <v>2023</v>
          </cell>
          <cell r="D4">
            <v>2024</v>
          </cell>
          <cell r="E4">
            <v>2025</v>
          </cell>
        </row>
        <row r="5">
          <cell r="B5" t="str">
            <v>KAB BOGOR</v>
          </cell>
          <cell r="C5">
            <v>1.65</v>
          </cell>
          <cell r="D5">
            <v>1.91</v>
          </cell>
          <cell r="E5">
            <v>2.36</v>
          </cell>
        </row>
        <row r="6">
          <cell r="B6" t="str">
            <v>KAB SUKABUMI</v>
          </cell>
          <cell r="C6">
            <v>7.61</v>
          </cell>
          <cell r="D6">
            <v>8.83</v>
          </cell>
          <cell r="E6">
            <v>10.26</v>
          </cell>
        </row>
        <row r="7">
          <cell r="B7" t="str">
            <v>KAB CIANJUR</v>
          </cell>
          <cell r="C7">
            <v>2.9</v>
          </cell>
          <cell r="D7">
            <v>2.5</v>
          </cell>
          <cell r="E7">
            <v>3.07</v>
          </cell>
        </row>
        <row r="8">
          <cell r="B8" t="str">
            <v>KAB BANDUNG</v>
          </cell>
          <cell r="C8">
            <v>7.71</v>
          </cell>
          <cell r="D8">
            <v>8.8800000000000008</v>
          </cell>
          <cell r="E8">
            <v>12.78</v>
          </cell>
        </row>
        <row r="9">
          <cell r="B9" t="str">
            <v>KAB GARUT</v>
          </cell>
          <cell r="C9">
            <v>12.74</v>
          </cell>
          <cell r="D9">
            <v>11.97</v>
          </cell>
          <cell r="E9">
            <v>11.53</v>
          </cell>
        </row>
        <row r="10">
          <cell r="B10" t="str">
            <v>KAB TASIKMALAYA</v>
          </cell>
          <cell r="C10">
            <v>10.76</v>
          </cell>
          <cell r="D10">
            <v>9.08</v>
          </cell>
          <cell r="E10">
            <v>13.24</v>
          </cell>
        </row>
        <row r="11">
          <cell r="B11" t="str">
            <v>KAB CIAMIS</v>
          </cell>
          <cell r="C11">
            <v>3.97</v>
          </cell>
          <cell r="D11">
            <v>3.81</v>
          </cell>
          <cell r="E11">
            <v>7.51</v>
          </cell>
        </row>
        <row r="12">
          <cell r="B12" t="str">
            <v>KAB KUNINGAN</v>
          </cell>
          <cell r="C12">
            <v>7.84</v>
          </cell>
          <cell r="D12">
            <v>7.82</v>
          </cell>
          <cell r="E12">
            <v>9.84</v>
          </cell>
        </row>
        <row r="13">
          <cell r="B13" t="str">
            <v>KAB CIREBON</v>
          </cell>
          <cell r="C13">
            <v>8.98</v>
          </cell>
          <cell r="D13">
            <v>5.56</v>
          </cell>
          <cell r="E13">
            <v>8.69</v>
          </cell>
        </row>
        <row r="14">
          <cell r="B14" t="str">
            <v>KAB MAJALENGKA</v>
          </cell>
          <cell r="C14">
            <v>3.14</v>
          </cell>
          <cell r="D14">
            <v>4.16</v>
          </cell>
          <cell r="E14">
            <v>6.02</v>
          </cell>
        </row>
        <row r="15">
          <cell r="B15" t="str">
            <v>KAB SUMEDANG</v>
          </cell>
          <cell r="C15">
            <v>8.4700000000000006</v>
          </cell>
          <cell r="D15">
            <v>7.35</v>
          </cell>
          <cell r="E15">
            <v>10.31</v>
          </cell>
        </row>
        <row r="16">
          <cell r="B16" t="str">
            <v>KAB INDRAMAYU</v>
          </cell>
          <cell r="C16">
            <v>5</v>
          </cell>
          <cell r="D16">
            <v>2.2999999999999998</v>
          </cell>
          <cell r="E16">
            <v>7.04</v>
          </cell>
        </row>
        <row r="17">
          <cell r="B17" t="str">
            <v>KAB SUBANG</v>
          </cell>
          <cell r="C17">
            <v>1.96</v>
          </cell>
          <cell r="D17">
            <v>1.6</v>
          </cell>
          <cell r="E17">
            <v>4.4400000000000004</v>
          </cell>
        </row>
        <row r="18">
          <cell r="B18" t="str">
            <v>KAB PURWAKARTA</v>
          </cell>
          <cell r="C18">
            <v>2.0299999999999998</v>
          </cell>
          <cell r="D18">
            <v>2.6</v>
          </cell>
          <cell r="E18">
            <v>3.06</v>
          </cell>
        </row>
        <row r="19">
          <cell r="B19" t="str">
            <v>KAB KARAWANG</v>
          </cell>
          <cell r="C19">
            <v>1.49</v>
          </cell>
          <cell r="D19">
            <v>1.9</v>
          </cell>
          <cell r="E19">
            <v>2.34</v>
          </cell>
        </row>
        <row r="20">
          <cell r="B20" t="str">
            <v>KAB BEKASI</v>
          </cell>
          <cell r="C20">
            <v>1.36</v>
          </cell>
          <cell r="D20">
            <v>1.61</v>
          </cell>
          <cell r="E20">
            <v>2.4700000000000002</v>
          </cell>
        </row>
        <row r="21">
          <cell r="B21" t="str">
            <v>KAB BANDUNG BARAT</v>
          </cell>
          <cell r="C21">
            <v>5.0199999999999996</v>
          </cell>
          <cell r="D21">
            <v>4.9400000000000004</v>
          </cell>
          <cell r="E21">
            <v>9.51</v>
          </cell>
        </row>
        <row r="22">
          <cell r="B22" t="str">
            <v>KAB PANGANDARAN</v>
          </cell>
          <cell r="C22">
            <v>1.9</v>
          </cell>
          <cell r="D22">
            <v>1.94</v>
          </cell>
          <cell r="E22">
            <v>2.31</v>
          </cell>
        </row>
        <row r="23">
          <cell r="B23" t="str">
            <v>KOTA BOGOR</v>
          </cell>
          <cell r="C23">
            <v>2.52</v>
          </cell>
          <cell r="D23">
            <v>2.33</v>
          </cell>
          <cell r="E23">
            <v>7.44</v>
          </cell>
        </row>
        <row r="24">
          <cell r="B24" t="str">
            <v>KOTA SUKABUMI</v>
          </cell>
          <cell r="C24">
            <v>5.47</v>
          </cell>
          <cell r="D24">
            <v>5.85</v>
          </cell>
          <cell r="E24">
            <v>7.74</v>
          </cell>
        </row>
        <row r="25">
          <cell r="B25" t="str">
            <v>KOTA BANDUNG</v>
          </cell>
          <cell r="C25">
            <v>6.54</v>
          </cell>
          <cell r="D25">
            <v>8.81</v>
          </cell>
          <cell r="E25">
            <v>11.66</v>
          </cell>
        </row>
        <row r="26">
          <cell r="B26" t="str">
            <v>KOTA CIREBON</v>
          </cell>
          <cell r="C26">
            <v>11.18</v>
          </cell>
          <cell r="D26">
            <v>13.04</v>
          </cell>
          <cell r="E26">
            <v>14.21</v>
          </cell>
        </row>
        <row r="27">
          <cell r="B27" t="str">
            <v>KOTA BEKASI</v>
          </cell>
          <cell r="C27">
            <v>2.99</v>
          </cell>
          <cell r="D27">
            <v>2.88</v>
          </cell>
          <cell r="E27">
            <v>4.2300000000000004</v>
          </cell>
        </row>
        <row r="28">
          <cell r="B28" t="str">
            <v>KOTA DEPOK</v>
          </cell>
          <cell r="C28">
            <v>3.29</v>
          </cell>
          <cell r="D28">
            <v>3.58</v>
          </cell>
          <cell r="E28">
            <v>8.59</v>
          </cell>
        </row>
        <row r="29">
          <cell r="B29" t="str">
            <v>KOTA CIMAHI</v>
          </cell>
          <cell r="C29">
            <v>9.34</v>
          </cell>
          <cell r="D29">
            <v>9.56</v>
          </cell>
          <cell r="E29">
            <v>14.87</v>
          </cell>
        </row>
        <row r="30">
          <cell r="B30" t="str">
            <v>KOTA TASIKMALAYA</v>
          </cell>
          <cell r="C30">
            <v>10.75</v>
          </cell>
          <cell r="D30">
            <v>10.86</v>
          </cell>
          <cell r="E30">
            <v>15.58</v>
          </cell>
        </row>
        <row r="31">
          <cell r="B31" t="str">
            <v>KOTA BANJAR</v>
          </cell>
          <cell r="C31">
            <v>7.19</v>
          </cell>
          <cell r="D31">
            <v>5.87</v>
          </cell>
          <cell r="E31">
            <v>6.26</v>
          </cell>
        </row>
        <row r="32">
          <cell r="B32" t="str">
            <v>JAWA BARAT</v>
          </cell>
          <cell r="C32">
            <v>5.12</v>
          </cell>
          <cell r="D32">
            <v>5.08</v>
          </cell>
          <cell r="E32">
            <v>7.19</v>
          </cell>
        </row>
      </sheetData>
      <sheetData sheetId="10">
        <row r="3">
          <cell r="B3" t="str">
            <v>INDIKATOR PREVALENSI WASTING DAN SEVERE WASTING</v>
          </cell>
          <cell r="C3" t="str">
            <v>REVALENSI WASTING DAN SEVERE WASTING</v>
          </cell>
        </row>
        <row r="4">
          <cell r="C4">
            <v>2023</v>
          </cell>
          <cell r="D4">
            <v>2024</v>
          </cell>
          <cell r="E4">
            <v>2025</v>
          </cell>
        </row>
        <row r="5">
          <cell r="B5" t="str">
            <v>KAB BOGOR</v>
          </cell>
          <cell r="C5">
            <v>2.4500000000000002</v>
          </cell>
          <cell r="D5">
            <v>2.17</v>
          </cell>
          <cell r="E5">
            <v>1.91</v>
          </cell>
        </row>
        <row r="6">
          <cell r="B6" t="str">
            <v>KAB SUKABUMI</v>
          </cell>
          <cell r="C6">
            <v>4</v>
          </cell>
          <cell r="D6">
            <v>4.28</v>
          </cell>
          <cell r="E6">
            <v>3.98</v>
          </cell>
        </row>
        <row r="7">
          <cell r="B7" t="str">
            <v>KAB CIANJUR</v>
          </cell>
          <cell r="C7">
            <v>1.94</v>
          </cell>
          <cell r="D7">
            <v>1.85</v>
          </cell>
          <cell r="E7">
            <v>1.96</v>
          </cell>
        </row>
        <row r="8">
          <cell r="B8" t="str">
            <v>KAB BANDUNG</v>
          </cell>
          <cell r="C8">
            <v>4.01</v>
          </cell>
          <cell r="D8">
            <v>3.8</v>
          </cell>
          <cell r="E8">
            <v>3.46</v>
          </cell>
        </row>
        <row r="9">
          <cell r="B9" t="str">
            <v>KAB GARUT</v>
          </cell>
          <cell r="C9">
            <v>3.95</v>
          </cell>
          <cell r="D9">
            <v>3.48</v>
          </cell>
          <cell r="E9">
            <v>3.16</v>
          </cell>
        </row>
        <row r="10">
          <cell r="B10" t="str">
            <v>KAB TASIKMALAYA</v>
          </cell>
          <cell r="C10">
            <v>3.89</v>
          </cell>
          <cell r="D10">
            <v>3.93</v>
          </cell>
          <cell r="E10">
            <v>3.95</v>
          </cell>
        </row>
        <row r="11">
          <cell r="B11" t="str">
            <v>KAB CIAMIS</v>
          </cell>
          <cell r="C11">
            <v>3.98</v>
          </cell>
          <cell r="D11">
            <v>3.67</v>
          </cell>
          <cell r="E11">
            <v>4.08</v>
          </cell>
        </row>
        <row r="12">
          <cell r="B12" t="str">
            <v>KAB KUNINGAN</v>
          </cell>
          <cell r="C12">
            <v>3.63</v>
          </cell>
          <cell r="D12">
            <v>4.5599999999999996</v>
          </cell>
          <cell r="E12">
            <v>4.9800000000000004</v>
          </cell>
        </row>
        <row r="13">
          <cell r="B13" t="str">
            <v>KAB CIREBON</v>
          </cell>
          <cell r="C13">
            <v>6.15</v>
          </cell>
          <cell r="D13">
            <v>6.57</v>
          </cell>
          <cell r="E13">
            <v>6.78</v>
          </cell>
        </row>
        <row r="14">
          <cell r="B14" t="str">
            <v>KAB MAJALENGKA</v>
          </cell>
          <cell r="C14">
            <v>2.58</v>
          </cell>
          <cell r="D14">
            <v>4.45</v>
          </cell>
          <cell r="E14">
            <v>4.96</v>
          </cell>
        </row>
        <row r="15">
          <cell r="B15" t="str">
            <v>KAB SUMEDANG</v>
          </cell>
          <cell r="C15">
            <v>3.81</v>
          </cell>
          <cell r="D15">
            <v>3.87</v>
          </cell>
          <cell r="E15">
            <v>3.18</v>
          </cell>
        </row>
        <row r="16">
          <cell r="B16" t="str">
            <v>KAB INDRAMAYU</v>
          </cell>
          <cell r="C16">
            <v>6.63</v>
          </cell>
          <cell r="D16">
            <v>5.24</v>
          </cell>
          <cell r="E16">
            <v>4.49</v>
          </cell>
        </row>
        <row r="17">
          <cell r="B17" t="str">
            <v>KAB SUBANG</v>
          </cell>
          <cell r="C17">
            <v>2.23</v>
          </cell>
          <cell r="D17">
            <v>2.34</v>
          </cell>
          <cell r="E17">
            <v>2.72</v>
          </cell>
        </row>
        <row r="18">
          <cell r="B18" t="str">
            <v>KAB PURWAKARTA</v>
          </cell>
          <cell r="C18">
            <v>1.35</v>
          </cell>
          <cell r="D18">
            <v>1.94</v>
          </cell>
          <cell r="E18">
            <v>1.84</v>
          </cell>
        </row>
        <row r="19">
          <cell r="B19" t="str">
            <v>KAB KARAWANG</v>
          </cell>
          <cell r="C19">
            <v>1.48</v>
          </cell>
          <cell r="D19">
            <v>1.82</v>
          </cell>
          <cell r="E19">
            <v>2.0699999999999998</v>
          </cell>
        </row>
        <row r="20">
          <cell r="B20" t="str">
            <v>KAB BEKASI</v>
          </cell>
          <cell r="C20">
            <v>1.52</v>
          </cell>
          <cell r="D20">
            <v>1.89</v>
          </cell>
          <cell r="E20">
            <v>1.61</v>
          </cell>
        </row>
        <row r="21">
          <cell r="B21" t="str">
            <v>KAB BANDUNG BARAT</v>
          </cell>
          <cell r="C21">
            <v>3.01</v>
          </cell>
          <cell r="D21">
            <v>3.35</v>
          </cell>
          <cell r="E21">
            <v>3.66</v>
          </cell>
        </row>
        <row r="22">
          <cell r="B22" t="str">
            <v>KAB PANGANDARAN</v>
          </cell>
          <cell r="C22">
            <v>1.53</v>
          </cell>
          <cell r="D22">
            <v>1.77</v>
          </cell>
          <cell r="E22">
            <v>2.17</v>
          </cell>
        </row>
        <row r="23">
          <cell r="B23" t="str">
            <v>KOTA BOGOR</v>
          </cell>
          <cell r="C23">
            <v>2.34</v>
          </cell>
          <cell r="D23">
            <v>1.99</v>
          </cell>
          <cell r="E23">
            <v>2.19</v>
          </cell>
        </row>
        <row r="24">
          <cell r="B24" t="str">
            <v>KOTA SUKABUMI</v>
          </cell>
          <cell r="C24">
            <v>4.58</v>
          </cell>
          <cell r="D24">
            <v>5.46</v>
          </cell>
          <cell r="E24">
            <v>4.45</v>
          </cell>
        </row>
        <row r="25">
          <cell r="B25" t="str">
            <v>KOTA BANDUNG</v>
          </cell>
          <cell r="C25">
            <v>4.08</v>
          </cell>
          <cell r="D25">
            <v>3.96</v>
          </cell>
          <cell r="E25">
            <v>4.24</v>
          </cell>
        </row>
        <row r="26">
          <cell r="B26" t="str">
            <v>KOTA CIREBON</v>
          </cell>
          <cell r="C26">
            <v>5.81</v>
          </cell>
          <cell r="D26">
            <v>7.5</v>
          </cell>
          <cell r="E26">
            <v>7.16</v>
          </cell>
        </row>
        <row r="27">
          <cell r="B27" t="str">
            <v>KOTA BEKASI</v>
          </cell>
          <cell r="C27">
            <v>4.04</v>
          </cell>
          <cell r="D27">
            <v>3.36</v>
          </cell>
          <cell r="E27">
            <v>3.36</v>
          </cell>
        </row>
        <row r="28">
          <cell r="B28" t="str">
            <v>KOTA DEPOK</v>
          </cell>
          <cell r="C28">
            <v>2.56</v>
          </cell>
          <cell r="D28">
            <v>3.16</v>
          </cell>
          <cell r="E28">
            <v>3.52</v>
          </cell>
        </row>
        <row r="29">
          <cell r="B29" t="str">
            <v>KOTA CIMAHI</v>
          </cell>
          <cell r="C29">
            <v>2.8</v>
          </cell>
          <cell r="D29">
            <v>3.18</v>
          </cell>
          <cell r="E29">
            <v>4.16</v>
          </cell>
        </row>
        <row r="30">
          <cell r="B30" t="str">
            <v>KOTA TASIKMALAYA</v>
          </cell>
          <cell r="C30">
            <v>4.3</v>
          </cell>
          <cell r="D30">
            <v>4.1399999999999997</v>
          </cell>
          <cell r="E30">
            <v>4.8499999999999996</v>
          </cell>
        </row>
        <row r="31">
          <cell r="B31" t="str">
            <v>KOTA BANJAR</v>
          </cell>
          <cell r="C31">
            <v>6.51</v>
          </cell>
          <cell r="D31">
            <v>6.13</v>
          </cell>
          <cell r="E31">
            <v>6.67</v>
          </cell>
        </row>
        <row r="32">
          <cell r="B32" t="str">
            <v>JAWA BARAT</v>
          </cell>
          <cell r="C32">
            <v>3.25</v>
          </cell>
          <cell r="D32">
            <v>3.3</v>
          </cell>
          <cell r="E32">
            <v>3.29</v>
          </cell>
        </row>
      </sheetData>
      <sheetData sheetId="11">
        <row r="3">
          <cell r="B3" t="str">
            <v>INDIKATOR CAKUPAN IMUNISASI DASAR LENGKAP</v>
          </cell>
          <cell r="C3" t="str">
            <v>CAKUPAN IMUNISASI DASAR LENGKAP</v>
          </cell>
        </row>
        <row r="4">
          <cell r="C4">
            <v>2023</v>
          </cell>
          <cell r="D4">
            <v>2024</v>
          </cell>
          <cell r="E4">
            <v>2025</v>
          </cell>
        </row>
        <row r="5">
          <cell r="B5" t="str">
            <v>KAB BOGOR</v>
          </cell>
          <cell r="C5">
            <v>97.1</v>
          </cell>
          <cell r="D5">
            <v>98.3</v>
          </cell>
          <cell r="E5">
            <v>98.2</v>
          </cell>
        </row>
        <row r="6">
          <cell r="B6" t="str">
            <v>KAB SUKABUMI</v>
          </cell>
          <cell r="C6">
            <v>101.69999999999999</v>
          </cell>
          <cell r="D6">
            <v>69.199999999999989</v>
          </cell>
          <cell r="E6">
            <v>91.2</v>
          </cell>
        </row>
        <row r="7">
          <cell r="B7" t="str">
            <v>KAB CIANJUR</v>
          </cell>
          <cell r="C7">
            <v>100.49999999999999</v>
          </cell>
          <cell r="D7">
            <v>84.399999999999991</v>
          </cell>
          <cell r="E7">
            <v>91.7</v>
          </cell>
        </row>
        <row r="8">
          <cell r="B8" t="str">
            <v>KAB BANDUNG</v>
          </cell>
          <cell r="C8">
            <v>96.8</v>
          </cell>
          <cell r="D8">
            <v>106.1</v>
          </cell>
          <cell r="E8">
            <v>97.2</v>
          </cell>
        </row>
        <row r="9">
          <cell r="B9" t="str">
            <v>KAB GARUT</v>
          </cell>
          <cell r="C9">
            <v>96.3</v>
          </cell>
          <cell r="D9">
            <v>91.100000000000009</v>
          </cell>
          <cell r="E9">
            <v>88.2</v>
          </cell>
        </row>
        <row r="10">
          <cell r="B10" t="str">
            <v>KAB TASIKMALAYA</v>
          </cell>
          <cell r="C10">
            <v>95.399999999999991</v>
          </cell>
          <cell r="D10">
            <v>72.599999999999994</v>
          </cell>
          <cell r="E10">
            <v>76</v>
          </cell>
        </row>
        <row r="11">
          <cell r="B11" t="str">
            <v>KAB CIAMIS</v>
          </cell>
          <cell r="C11">
            <v>107</v>
          </cell>
          <cell r="D11">
            <v>86.5</v>
          </cell>
          <cell r="E11">
            <v>75</v>
          </cell>
        </row>
        <row r="12">
          <cell r="B12" t="str">
            <v>KAB KUNINGAN</v>
          </cell>
          <cell r="C12">
            <v>98.4</v>
          </cell>
          <cell r="D12">
            <v>80.800000000000011</v>
          </cell>
          <cell r="E12">
            <v>72.5</v>
          </cell>
        </row>
        <row r="13">
          <cell r="B13" t="str">
            <v>KAB CIREBON</v>
          </cell>
          <cell r="C13">
            <v>123.8</v>
          </cell>
          <cell r="D13">
            <v>102.60000000000001</v>
          </cell>
          <cell r="E13">
            <v>96.899999999999991</v>
          </cell>
        </row>
        <row r="14">
          <cell r="B14" t="str">
            <v>KAB MAJALENGKA</v>
          </cell>
          <cell r="C14">
            <v>99.1</v>
          </cell>
          <cell r="D14">
            <v>80.600000000000009</v>
          </cell>
          <cell r="E14">
            <v>70.599999999999994</v>
          </cell>
        </row>
        <row r="15">
          <cell r="B15" t="str">
            <v>KAB SUMEDANG</v>
          </cell>
          <cell r="C15">
            <v>99</v>
          </cell>
          <cell r="D15">
            <v>90.4</v>
          </cell>
          <cell r="E15">
            <v>85.399999999999991</v>
          </cell>
        </row>
        <row r="16">
          <cell r="B16" t="str">
            <v>KAB INDRAMAYU</v>
          </cell>
          <cell r="C16">
            <v>99.4</v>
          </cell>
          <cell r="D16">
            <v>106.3</v>
          </cell>
          <cell r="E16">
            <v>82.399999999999991</v>
          </cell>
        </row>
        <row r="17">
          <cell r="B17" t="str">
            <v>KAB SUBANG</v>
          </cell>
          <cell r="C17">
            <v>103.2</v>
          </cell>
          <cell r="D17">
            <v>92.300000000000011</v>
          </cell>
          <cell r="E17">
            <v>97.1</v>
          </cell>
        </row>
        <row r="18">
          <cell r="B18" t="str">
            <v>KAB PURWAKARTA</v>
          </cell>
          <cell r="C18">
            <v>100.89999999999999</v>
          </cell>
          <cell r="D18">
            <v>88.7</v>
          </cell>
          <cell r="E18">
            <v>95.7</v>
          </cell>
        </row>
        <row r="19">
          <cell r="B19" t="str">
            <v>KAB KARAWANG</v>
          </cell>
          <cell r="C19">
            <v>99.6</v>
          </cell>
          <cell r="D19">
            <v>90.7</v>
          </cell>
          <cell r="E19">
            <v>93.600000000000009</v>
          </cell>
        </row>
        <row r="20">
          <cell r="B20" t="str">
            <v>KAB BEKASI</v>
          </cell>
          <cell r="C20">
            <v>97</v>
          </cell>
          <cell r="D20">
            <v>113.99999999999999</v>
          </cell>
          <cell r="E20">
            <v>107.2</v>
          </cell>
        </row>
        <row r="21">
          <cell r="B21" t="str">
            <v>KAB BANDUNG BARAT</v>
          </cell>
          <cell r="C21">
            <v>99.7</v>
          </cell>
          <cell r="D21">
            <v>81.8</v>
          </cell>
          <cell r="E21">
            <v>88.1</v>
          </cell>
        </row>
        <row r="22">
          <cell r="B22" t="str">
            <v>KAB PANGANDARAN</v>
          </cell>
          <cell r="C22">
            <v>102.60000000000001</v>
          </cell>
          <cell r="D22">
            <v>78.900000000000006</v>
          </cell>
          <cell r="E22">
            <v>68.8</v>
          </cell>
        </row>
        <row r="23">
          <cell r="B23" t="str">
            <v>KOTA BOGOR</v>
          </cell>
          <cell r="C23">
            <v>96.899999999999991</v>
          </cell>
          <cell r="D23">
            <v>101.89999999999999</v>
          </cell>
          <cell r="E23">
            <v>97.399999999999991</v>
          </cell>
        </row>
        <row r="24">
          <cell r="B24" t="str">
            <v>KOTA SUKABUMI</v>
          </cell>
          <cell r="C24">
            <v>96.899999999999991</v>
          </cell>
          <cell r="D24">
            <v>97.399999999999991</v>
          </cell>
          <cell r="E24">
            <v>99.2</v>
          </cell>
        </row>
        <row r="25">
          <cell r="B25" t="str">
            <v>KOTA BANDUNG</v>
          </cell>
          <cell r="C25">
            <v>82.699999999999989</v>
          </cell>
          <cell r="D25">
            <v>83.899999999999991</v>
          </cell>
          <cell r="E25">
            <v>83.7</v>
          </cell>
        </row>
        <row r="26">
          <cell r="B26" t="str">
            <v>KOTA CIREBON</v>
          </cell>
          <cell r="C26">
            <v>84.7</v>
          </cell>
          <cell r="D26">
            <v>70.099999999999994</v>
          </cell>
          <cell r="E26">
            <v>67.900000000000006</v>
          </cell>
        </row>
        <row r="27">
          <cell r="B27" t="str">
            <v>KOTA BEKASI</v>
          </cell>
          <cell r="C27">
            <v>84.3</v>
          </cell>
          <cell r="D27">
            <v>102.8</v>
          </cell>
          <cell r="E27">
            <v>102.89999999999999</v>
          </cell>
        </row>
        <row r="28">
          <cell r="B28" t="str">
            <v>KOTA DEPOK</v>
          </cell>
          <cell r="C28">
            <v>95.5</v>
          </cell>
          <cell r="D28">
            <v>112.99999999999999</v>
          </cell>
          <cell r="E28">
            <v>111.80000000000001</v>
          </cell>
        </row>
        <row r="29">
          <cell r="B29" t="str">
            <v>KOTA CIMAHI</v>
          </cell>
          <cell r="C29">
            <v>94.5</v>
          </cell>
          <cell r="D29">
            <v>98</v>
          </cell>
          <cell r="E29">
            <v>98.6</v>
          </cell>
        </row>
        <row r="30">
          <cell r="B30" t="str">
            <v>KOTA TASIKMALAYA</v>
          </cell>
          <cell r="C30">
            <v>99.5</v>
          </cell>
          <cell r="D30">
            <v>83.7</v>
          </cell>
          <cell r="E30">
            <v>90.100000000000009</v>
          </cell>
        </row>
        <row r="31">
          <cell r="B31" t="str">
            <v>KOTA BANJAR</v>
          </cell>
          <cell r="C31">
            <v>95.5</v>
          </cell>
          <cell r="D31">
            <v>75.3</v>
          </cell>
          <cell r="E31">
            <v>74.900000000000006</v>
          </cell>
        </row>
        <row r="32">
          <cell r="B32" t="str">
            <v>JAWA BARAT</v>
          </cell>
          <cell r="C32">
            <v>97.6</v>
          </cell>
          <cell r="D32">
            <v>93.2</v>
          </cell>
          <cell r="E32">
            <v>92.2</v>
          </cell>
        </row>
      </sheetData>
      <sheetData sheetId="12">
        <row r="3">
          <cell r="B3" t="str">
            <v>INDIKATOR PELAYANAN DENGAN TATALAKSANA GIZI BURUK BAGI BAYI DENGAN GIZI BURUK</v>
          </cell>
          <cell r="C3" t="str">
            <v xml:space="preserve"> PELAYANAN DENGAN TATALAKSANA GIZI BURUK BAGI BAYI DENGAN GIZI BURUK</v>
          </cell>
        </row>
        <row r="4">
          <cell r="C4">
            <v>2023</v>
          </cell>
          <cell r="D4">
            <v>2024</v>
          </cell>
          <cell r="E4">
            <v>2025</v>
          </cell>
        </row>
        <row r="5">
          <cell r="B5" t="str">
            <v>KAB BOGOR</v>
          </cell>
          <cell r="C5">
            <v>97.05</v>
          </cell>
          <cell r="D5">
            <v>88.01</v>
          </cell>
          <cell r="E5">
            <v>96.96</v>
          </cell>
        </row>
        <row r="6">
          <cell r="B6" t="str">
            <v>KAB SUKABUMI</v>
          </cell>
          <cell r="C6">
            <v>99.62</v>
          </cell>
          <cell r="D6">
            <v>78.83</v>
          </cell>
          <cell r="E6">
            <v>99.24</v>
          </cell>
        </row>
        <row r="7">
          <cell r="B7" t="str">
            <v>KAB CIANJUR</v>
          </cell>
          <cell r="C7">
            <v>89.17</v>
          </cell>
          <cell r="D7">
            <v>100</v>
          </cell>
          <cell r="E7">
            <v>98.95</v>
          </cell>
        </row>
        <row r="8">
          <cell r="B8" t="str">
            <v>KAB BANDUNG</v>
          </cell>
          <cell r="C8">
            <v>129.13999999999999</v>
          </cell>
          <cell r="D8">
            <v>50.42</v>
          </cell>
          <cell r="E8">
            <v>54.28</v>
          </cell>
        </row>
        <row r="9">
          <cell r="B9" t="str">
            <v>KAB GARUT</v>
          </cell>
          <cell r="C9">
            <v>100</v>
          </cell>
          <cell r="D9">
            <v>100</v>
          </cell>
          <cell r="E9">
            <v>100</v>
          </cell>
        </row>
        <row r="10">
          <cell r="B10" t="str">
            <v>KAB TASIKMALAYA</v>
          </cell>
          <cell r="C10">
            <v>87.27</v>
          </cell>
          <cell r="D10">
            <v>89.6</v>
          </cell>
          <cell r="E10">
            <v>98.8</v>
          </cell>
        </row>
        <row r="11">
          <cell r="B11" t="str">
            <v>KAB CIAMIS</v>
          </cell>
          <cell r="C11">
            <v>85.25</v>
          </cell>
          <cell r="D11">
            <v>63.09</v>
          </cell>
          <cell r="E11">
            <v>100</v>
          </cell>
        </row>
        <row r="12">
          <cell r="B12" t="str">
            <v>KAB KUNINGAN</v>
          </cell>
          <cell r="C12">
            <v>100</v>
          </cell>
          <cell r="D12">
            <v>100</v>
          </cell>
          <cell r="E12">
            <v>100</v>
          </cell>
        </row>
        <row r="13">
          <cell r="B13" t="str">
            <v>KAB CIREBON</v>
          </cell>
          <cell r="C13">
            <v>91.76</v>
          </cell>
          <cell r="D13">
            <v>84.6</v>
          </cell>
          <cell r="E13">
            <v>81.42</v>
          </cell>
        </row>
        <row r="14">
          <cell r="B14" t="str">
            <v>KAB MAJALENGKA</v>
          </cell>
          <cell r="C14">
            <v>86.44</v>
          </cell>
          <cell r="D14">
            <v>97.47</v>
          </cell>
          <cell r="E14">
            <v>100</v>
          </cell>
        </row>
        <row r="15">
          <cell r="B15" t="str">
            <v>KAB SUMEDANG</v>
          </cell>
          <cell r="C15">
            <v>92.31</v>
          </cell>
          <cell r="D15">
            <v>97.12</v>
          </cell>
          <cell r="E15">
            <v>98.86</v>
          </cell>
        </row>
        <row r="16">
          <cell r="B16" t="str">
            <v>KAB INDRAMAYU</v>
          </cell>
          <cell r="C16">
            <v>96</v>
          </cell>
          <cell r="D16">
            <v>100</v>
          </cell>
          <cell r="E16">
            <v>96.43</v>
          </cell>
        </row>
        <row r="17">
          <cell r="B17" t="str">
            <v>KAB SUBANG</v>
          </cell>
          <cell r="C17">
            <v>98.97</v>
          </cell>
          <cell r="D17">
            <v>89.29</v>
          </cell>
          <cell r="E17">
            <v>93.98</v>
          </cell>
        </row>
        <row r="18">
          <cell r="B18" t="str">
            <v>KAB PURWAKARTA</v>
          </cell>
          <cell r="C18">
            <v>100</v>
          </cell>
          <cell r="D18">
            <v>100</v>
          </cell>
          <cell r="E18">
            <v>100</v>
          </cell>
        </row>
        <row r="19">
          <cell r="B19" t="str">
            <v>KAB KARAWANG</v>
          </cell>
          <cell r="C19">
            <v>100</v>
          </cell>
          <cell r="D19">
            <v>98.36</v>
          </cell>
          <cell r="E19">
            <v>95.6</v>
          </cell>
        </row>
        <row r="20">
          <cell r="B20" t="str">
            <v>KAB BEKASI</v>
          </cell>
          <cell r="C20">
            <v>99.76</v>
          </cell>
          <cell r="D20">
            <v>96.81</v>
          </cell>
          <cell r="E20">
            <v>100</v>
          </cell>
        </row>
        <row r="21">
          <cell r="B21" t="str">
            <v>KAB BANDUNG BARAT</v>
          </cell>
          <cell r="C21">
            <v>100</v>
          </cell>
          <cell r="D21">
            <v>98.8</v>
          </cell>
          <cell r="E21">
            <v>100</v>
          </cell>
        </row>
        <row r="22">
          <cell r="B22" t="str">
            <v>KAB PANGANDARAN</v>
          </cell>
          <cell r="C22">
            <v>100</v>
          </cell>
          <cell r="D22">
            <v>100</v>
          </cell>
          <cell r="E22">
            <v>100</v>
          </cell>
        </row>
        <row r="23">
          <cell r="B23" t="str">
            <v>KOTA BOGOR</v>
          </cell>
          <cell r="C23">
            <v>100</v>
          </cell>
          <cell r="D23">
            <v>100</v>
          </cell>
          <cell r="E23">
            <v>100</v>
          </cell>
        </row>
        <row r="24">
          <cell r="B24" t="str">
            <v>KOTA SUKABUMI</v>
          </cell>
          <cell r="C24">
            <v>97.3</v>
          </cell>
          <cell r="D24">
            <v>100</v>
          </cell>
          <cell r="E24">
            <v>100</v>
          </cell>
        </row>
        <row r="25">
          <cell r="B25" t="str">
            <v>KOTA BANDUNG</v>
          </cell>
          <cell r="C25">
            <v>99.61</v>
          </cell>
          <cell r="D25">
            <v>97.4</v>
          </cell>
          <cell r="E25">
            <v>98.45</v>
          </cell>
        </row>
        <row r="26">
          <cell r="B26" t="str">
            <v>KOTA CIREBON</v>
          </cell>
          <cell r="C26">
            <v>100</v>
          </cell>
          <cell r="D26">
            <v>100</v>
          </cell>
          <cell r="E26">
            <v>98.16</v>
          </cell>
        </row>
        <row r="27">
          <cell r="B27" t="str">
            <v>KOTA BEKASI</v>
          </cell>
          <cell r="C27">
            <v>100</v>
          </cell>
          <cell r="D27">
            <v>100</v>
          </cell>
          <cell r="E27">
            <v>100</v>
          </cell>
        </row>
        <row r="28">
          <cell r="B28" t="str">
            <v>KOTA DEPOK</v>
          </cell>
          <cell r="C28">
            <v>100</v>
          </cell>
          <cell r="D28">
            <v>100</v>
          </cell>
          <cell r="E28">
            <v>100</v>
          </cell>
        </row>
        <row r="29">
          <cell r="B29" t="str">
            <v>KOTA CIMAHI</v>
          </cell>
          <cell r="C29">
            <v>100</v>
          </cell>
          <cell r="D29">
            <v>100</v>
          </cell>
          <cell r="E29">
            <v>100</v>
          </cell>
        </row>
        <row r="30">
          <cell r="B30" t="str">
            <v>KOTA TASIKMALAYA</v>
          </cell>
          <cell r="C30">
            <v>100</v>
          </cell>
          <cell r="D30">
            <v>100</v>
          </cell>
          <cell r="E30">
            <v>100</v>
          </cell>
        </row>
        <row r="31">
          <cell r="B31" t="str">
            <v>KOTA BANJAR</v>
          </cell>
          <cell r="C31">
            <v>100</v>
          </cell>
          <cell r="D31">
            <v>94.12</v>
          </cell>
          <cell r="E31">
            <v>100</v>
          </cell>
        </row>
        <row r="32">
          <cell r="B32" t="str">
            <v>JAWA BARAT</v>
          </cell>
          <cell r="C32">
            <v>99</v>
          </cell>
          <cell r="D32">
            <v>90.73</v>
          </cell>
          <cell r="E32">
            <v>94.86</v>
          </cell>
        </row>
      </sheetData>
      <sheetData sheetId="13">
        <row r="3">
          <cell r="B3" t="str">
            <v>INDIKATOR CAKUPAN KUNJUNGAN ANTENATAL K6</v>
          </cell>
          <cell r="C3" t="str">
            <v>CAKUPAN KUNJUNGAN ANTENATAL K6</v>
          </cell>
        </row>
        <row r="4">
          <cell r="C4">
            <v>2023</v>
          </cell>
          <cell r="D4">
            <v>2024</v>
          </cell>
          <cell r="E4">
            <v>2025</v>
          </cell>
        </row>
        <row r="5">
          <cell r="B5" t="str">
            <v>KAB BOGOR</v>
          </cell>
          <cell r="C5">
            <v>62.3</v>
          </cell>
          <cell r="D5">
            <v>89.5</v>
          </cell>
          <cell r="E5">
            <v>100</v>
          </cell>
        </row>
        <row r="6">
          <cell r="B6" t="str">
            <v>KAB SUKABUMI</v>
          </cell>
          <cell r="C6">
            <v>81.099999999999994</v>
          </cell>
          <cell r="D6">
            <v>97.9</v>
          </cell>
          <cell r="E6">
            <v>98.91</v>
          </cell>
        </row>
        <row r="7">
          <cell r="B7" t="str">
            <v>KAB CIANJUR</v>
          </cell>
          <cell r="C7">
            <v>80.5</v>
          </cell>
          <cell r="D7">
            <v>88.7</v>
          </cell>
          <cell r="E7">
            <v>92.66</v>
          </cell>
        </row>
        <row r="8">
          <cell r="B8" t="str">
            <v>KAB BANDUNG</v>
          </cell>
          <cell r="C8">
            <v>74.400000000000006</v>
          </cell>
          <cell r="D8">
            <v>98.2</v>
          </cell>
          <cell r="E8">
            <v>96.97</v>
          </cell>
        </row>
        <row r="9">
          <cell r="B9" t="str">
            <v>KAB GARUT</v>
          </cell>
          <cell r="C9">
            <v>75.5</v>
          </cell>
          <cell r="D9">
            <v>80</v>
          </cell>
          <cell r="E9">
            <v>77.09</v>
          </cell>
        </row>
        <row r="10">
          <cell r="B10" t="str">
            <v>KAB TASIKMALAYA</v>
          </cell>
          <cell r="C10">
            <v>82.6</v>
          </cell>
          <cell r="D10">
            <v>99.1</v>
          </cell>
          <cell r="E10">
            <v>71.55</v>
          </cell>
        </row>
        <row r="11">
          <cell r="B11" t="str">
            <v>KAB CIAMIS</v>
          </cell>
          <cell r="C11">
            <v>87.7</v>
          </cell>
          <cell r="D11">
            <v>67.400000000000006</v>
          </cell>
          <cell r="E11">
            <v>64.19</v>
          </cell>
        </row>
        <row r="12">
          <cell r="B12" t="str">
            <v>KAB KUNINGAN</v>
          </cell>
          <cell r="C12">
            <v>77.400000000000006</v>
          </cell>
          <cell r="D12">
            <v>67.400000000000006</v>
          </cell>
          <cell r="E12">
            <v>60.86</v>
          </cell>
        </row>
        <row r="13">
          <cell r="B13" t="str">
            <v>KAB CIREBON</v>
          </cell>
          <cell r="C13">
            <v>110.4</v>
          </cell>
          <cell r="D13">
            <v>96</v>
          </cell>
          <cell r="E13">
            <v>90.91</v>
          </cell>
        </row>
        <row r="14">
          <cell r="B14" t="str">
            <v>KAB MAJALENGKA</v>
          </cell>
          <cell r="C14">
            <v>94.1</v>
          </cell>
          <cell r="D14">
            <v>83.9</v>
          </cell>
          <cell r="E14">
            <v>74.75</v>
          </cell>
        </row>
        <row r="15">
          <cell r="B15" t="str">
            <v>KAB SUMEDANG</v>
          </cell>
          <cell r="C15">
            <v>83.3</v>
          </cell>
          <cell r="D15">
            <v>73.5</v>
          </cell>
          <cell r="E15">
            <v>65.540000000000006</v>
          </cell>
        </row>
        <row r="16">
          <cell r="B16" t="str">
            <v>KAB INDRAMAYU</v>
          </cell>
          <cell r="C16">
            <v>87.2</v>
          </cell>
          <cell r="D16">
            <v>75.400000000000006</v>
          </cell>
          <cell r="E16">
            <v>74.150000000000006</v>
          </cell>
        </row>
        <row r="17">
          <cell r="B17" t="str">
            <v>KAB SUBANG</v>
          </cell>
          <cell r="C17">
            <v>70.599999999999994</v>
          </cell>
          <cell r="D17">
            <v>88</v>
          </cell>
          <cell r="E17">
            <v>87.28</v>
          </cell>
        </row>
        <row r="18">
          <cell r="B18" t="str">
            <v>KAB PURWAKARTA</v>
          </cell>
          <cell r="C18">
            <v>87.3</v>
          </cell>
          <cell r="D18">
            <v>88.4</v>
          </cell>
          <cell r="E18">
            <v>93.3</v>
          </cell>
        </row>
        <row r="19">
          <cell r="B19" t="str">
            <v>KAB KARAWANG</v>
          </cell>
          <cell r="C19">
            <v>75.099999999999994</v>
          </cell>
          <cell r="D19">
            <v>80.8</v>
          </cell>
          <cell r="E19">
            <v>82.71</v>
          </cell>
        </row>
        <row r="20">
          <cell r="B20" t="str">
            <v>KAB BEKASI</v>
          </cell>
          <cell r="C20">
            <v>91.4</v>
          </cell>
          <cell r="D20">
            <v>100.5</v>
          </cell>
          <cell r="E20">
            <v>100.29</v>
          </cell>
        </row>
        <row r="21">
          <cell r="B21" t="str">
            <v>KAB BANDUNG BARAT</v>
          </cell>
          <cell r="C21">
            <v>94.7</v>
          </cell>
          <cell r="D21">
            <v>89.1</v>
          </cell>
          <cell r="E21">
            <v>84.73</v>
          </cell>
        </row>
        <row r="22">
          <cell r="B22" t="str">
            <v>KAB PANGANDARAN</v>
          </cell>
          <cell r="C22">
            <v>92</v>
          </cell>
          <cell r="D22">
            <v>70.099999999999994</v>
          </cell>
          <cell r="E22">
            <v>70.09</v>
          </cell>
        </row>
        <row r="23">
          <cell r="B23" t="str">
            <v>KOTA BOGOR</v>
          </cell>
          <cell r="C23">
            <v>98.6</v>
          </cell>
          <cell r="D23">
            <v>100.8</v>
          </cell>
          <cell r="E23">
            <v>100.42</v>
          </cell>
        </row>
        <row r="24">
          <cell r="B24" t="str">
            <v>KOTA SUKABUMI</v>
          </cell>
          <cell r="C24">
            <v>73.400000000000006</v>
          </cell>
          <cell r="D24">
            <v>100</v>
          </cell>
          <cell r="E24">
            <v>100.74</v>
          </cell>
        </row>
        <row r="25">
          <cell r="B25" t="str">
            <v>KOTA BANDUNG</v>
          </cell>
          <cell r="C25">
            <v>63.3</v>
          </cell>
          <cell r="D25">
            <v>86.6</v>
          </cell>
          <cell r="E25">
            <v>91.82</v>
          </cell>
        </row>
        <row r="26">
          <cell r="B26" t="str">
            <v>KOTA CIREBON</v>
          </cell>
          <cell r="C26">
            <v>86.3</v>
          </cell>
          <cell r="D26">
            <v>71.7</v>
          </cell>
          <cell r="E26">
            <v>71.02</v>
          </cell>
        </row>
        <row r="27">
          <cell r="B27" t="str">
            <v>KOTA BEKASI</v>
          </cell>
          <cell r="C27">
            <v>66.5</v>
          </cell>
          <cell r="D27">
            <v>104.4</v>
          </cell>
          <cell r="E27">
            <v>111.31</v>
          </cell>
        </row>
        <row r="28">
          <cell r="B28" t="str">
            <v>KOTA DEPOK</v>
          </cell>
          <cell r="C28">
            <v>94.8</v>
          </cell>
          <cell r="D28">
            <v>100</v>
          </cell>
          <cell r="E28">
            <v>100.04</v>
          </cell>
        </row>
        <row r="29">
          <cell r="B29" t="str">
            <v>KOTA CIMAHI</v>
          </cell>
          <cell r="C29">
            <v>86.6</v>
          </cell>
          <cell r="D29">
            <v>95.6</v>
          </cell>
          <cell r="E29">
            <v>97.22</v>
          </cell>
        </row>
        <row r="30">
          <cell r="B30" t="str">
            <v>KOTA TASIKMALAYA</v>
          </cell>
          <cell r="C30">
            <v>84.2</v>
          </cell>
          <cell r="D30">
            <v>82.3</v>
          </cell>
          <cell r="E30">
            <v>85.33</v>
          </cell>
        </row>
        <row r="31">
          <cell r="B31" t="str">
            <v>KOTA BANJAR</v>
          </cell>
          <cell r="C31">
            <v>88.4</v>
          </cell>
          <cell r="D31">
            <v>68.400000000000006</v>
          </cell>
          <cell r="E31">
            <v>60.14</v>
          </cell>
        </row>
        <row r="32">
          <cell r="B32" t="str">
            <v>JAWA BARAT</v>
          </cell>
          <cell r="C32">
            <v>80</v>
          </cell>
          <cell r="D32">
            <v>89.5</v>
          </cell>
          <cell r="E32">
            <v>89.24</v>
          </cell>
        </row>
        <row r="34">
          <cell r="B34" t="str">
            <v>Sumber : Profil Kesehatan Dinas Kesehatan Provinsi Jawa Barat, Tahun 2023-2025</v>
          </cell>
        </row>
      </sheetData>
      <sheetData sheetId="14">
        <row r="3">
          <cell r="B3" t="str">
            <v>INDIKATOR ANGKA PERSALINAN DI FASILITAS PELAYANAN KESEHATAN</v>
          </cell>
          <cell r="C3" t="str">
            <v>ANGKA PERSALINAN DI FASILITAS PELAYANAN KESEHATAN</v>
          </cell>
        </row>
        <row r="4">
          <cell r="C4">
            <v>2023</v>
          </cell>
          <cell r="D4">
            <v>2024</v>
          </cell>
          <cell r="E4">
            <v>2025</v>
          </cell>
        </row>
        <row r="5">
          <cell r="B5" t="str">
            <v>KAB BOGOR</v>
          </cell>
          <cell r="C5">
            <v>90.2</v>
          </cell>
          <cell r="D5">
            <v>100</v>
          </cell>
          <cell r="E5">
            <v>100</v>
          </cell>
        </row>
        <row r="6">
          <cell r="B6" t="str">
            <v>KAB SUKABUMI</v>
          </cell>
          <cell r="C6">
            <v>96.3</v>
          </cell>
          <cell r="D6">
            <v>97.46</v>
          </cell>
          <cell r="E6">
            <v>97.79</v>
          </cell>
        </row>
        <row r="7">
          <cell r="B7" t="str">
            <v>KAB CIANJUR</v>
          </cell>
          <cell r="C7">
            <v>92.7</v>
          </cell>
          <cell r="D7">
            <v>88.14</v>
          </cell>
          <cell r="E7">
            <v>91.72</v>
          </cell>
        </row>
        <row r="8">
          <cell r="B8" t="str">
            <v>KAB BANDUNG</v>
          </cell>
          <cell r="C8">
            <v>84.7</v>
          </cell>
          <cell r="D8">
            <v>98.05</v>
          </cell>
          <cell r="E8">
            <v>96.56</v>
          </cell>
        </row>
        <row r="9">
          <cell r="B9" t="str">
            <v>KAB GARUT</v>
          </cell>
          <cell r="C9">
            <v>89.8</v>
          </cell>
          <cell r="D9">
            <v>79.349999999999994</v>
          </cell>
          <cell r="E9">
            <v>78.150000000000006</v>
          </cell>
        </row>
        <row r="10">
          <cell r="B10" t="str">
            <v>KAB TASIKMALAYA</v>
          </cell>
          <cell r="C10">
            <v>88</v>
          </cell>
          <cell r="D10">
            <v>99.1</v>
          </cell>
          <cell r="E10">
            <v>76.260000000000005</v>
          </cell>
        </row>
        <row r="11">
          <cell r="B11" t="str">
            <v>KAB CIAMIS</v>
          </cell>
          <cell r="C11">
            <v>98.3</v>
          </cell>
          <cell r="D11">
            <v>70.03</v>
          </cell>
          <cell r="E11">
            <v>64.709999999999994</v>
          </cell>
        </row>
        <row r="12">
          <cell r="B12" t="str">
            <v>KAB KUNINGAN</v>
          </cell>
          <cell r="C12">
            <v>93.7</v>
          </cell>
          <cell r="D12">
            <v>71.19</v>
          </cell>
          <cell r="E12">
            <v>65.62</v>
          </cell>
        </row>
        <row r="13">
          <cell r="B13" t="str">
            <v>KAB CIREBON</v>
          </cell>
          <cell r="C13">
            <v>121.4</v>
          </cell>
          <cell r="D13">
            <v>92.7</v>
          </cell>
          <cell r="E13">
            <v>88.78</v>
          </cell>
        </row>
        <row r="14">
          <cell r="B14" t="str">
            <v>KAB MAJALENGKA</v>
          </cell>
          <cell r="C14">
            <v>101.1</v>
          </cell>
          <cell r="D14">
            <v>82.61</v>
          </cell>
          <cell r="E14">
            <v>72.42</v>
          </cell>
        </row>
        <row r="15">
          <cell r="B15" t="str">
            <v>KAB SUMEDANG</v>
          </cell>
          <cell r="C15">
            <v>95</v>
          </cell>
          <cell r="D15">
            <v>78.3</v>
          </cell>
          <cell r="E15">
            <v>69.900000000000006</v>
          </cell>
        </row>
        <row r="16">
          <cell r="B16" t="str">
            <v>KAB INDRAMAYU</v>
          </cell>
          <cell r="C16">
            <v>97.1</v>
          </cell>
          <cell r="D16">
            <v>78.19</v>
          </cell>
          <cell r="E16">
            <v>75.650000000000006</v>
          </cell>
        </row>
        <row r="17">
          <cell r="B17" t="str">
            <v>KAB SUBANG</v>
          </cell>
          <cell r="C17">
            <v>99.7</v>
          </cell>
          <cell r="D17">
            <v>88.47</v>
          </cell>
          <cell r="E17">
            <v>87.27</v>
          </cell>
        </row>
        <row r="18">
          <cell r="B18" t="str">
            <v>KAB PURWAKARTA</v>
          </cell>
          <cell r="C18">
            <v>97.9</v>
          </cell>
          <cell r="D18">
            <v>93.38</v>
          </cell>
          <cell r="E18">
            <v>93.95</v>
          </cell>
        </row>
        <row r="19">
          <cell r="B19" t="str">
            <v>KAB KARAWANG</v>
          </cell>
          <cell r="C19">
            <v>91.7</v>
          </cell>
          <cell r="D19">
            <v>83.44</v>
          </cell>
          <cell r="E19">
            <v>82.79</v>
          </cell>
        </row>
        <row r="20">
          <cell r="B20" t="str">
            <v>KAB BEKASI</v>
          </cell>
          <cell r="C20">
            <v>100</v>
          </cell>
          <cell r="D20">
            <v>100.38</v>
          </cell>
          <cell r="E20">
            <v>99.99</v>
          </cell>
        </row>
        <row r="21">
          <cell r="B21" t="str">
            <v>KAB BANDUNG BARAT</v>
          </cell>
          <cell r="C21">
            <v>95.6</v>
          </cell>
          <cell r="D21">
            <v>87.96</v>
          </cell>
          <cell r="E21">
            <v>84.42</v>
          </cell>
        </row>
        <row r="22">
          <cell r="B22" t="str">
            <v>KAB PANGANDARAN</v>
          </cell>
          <cell r="C22">
            <v>96.8</v>
          </cell>
          <cell r="D22">
            <v>73.09</v>
          </cell>
          <cell r="E22">
            <v>63.29</v>
          </cell>
        </row>
        <row r="23">
          <cell r="B23" t="str">
            <v>KOTA BOGOR</v>
          </cell>
          <cell r="C23">
            <v>99.2</v>
          </cell>
          <cell r="D23">
            <v>100.66</v>
          </cell>
          <cell r="E23">
            <v>100.21</v>
          </cell>
        </row>
        <row r="24">
          <cell r="B24" t="str">
            <v>KOTA SUKABUMI</v>
          </cell>
          <cell r="C24">
            <v>100</v>
          </cell>
          <cell r="D24">
            <v>100.02</v>
          </cell>
          <cell r="E24">
            <v>100</v>
          </cell>
        </row>
        <row r="25">
          <cell r="B25" t="str">
            <v>KOTA BANDUNG</v>
          </cell>
          <cell r="C25">
            <v>89.5</v>
          </cell>
          <cell r="D25">
            <v>92.76</v>
          </cell>
          <cell r="E25">
            <v>93.56</v>
          </cell>
        </row>
        <row r="26">
          <cell r="B26" t="str">
            <v>KOTA CIREBON</v>
          </cell>
          <cell r="C26">
            <v>92.3</v>
          </cell>
          <cell r="D26">
            <v>71.58</v>
          </cell>
          <cell r="E26">
            <v>70.73</v>
          </cell>
        </row>
        <row r="27">
          <cell r="B27" t="str">
            <v>KOTA BEKASI</v>
          </cell>
          <cell r="C27">
            <v>85.4</v>
          </cell>
          <cell r="D27">
            <v>104.36</v>
          </cell>
          <cell r="E27">
            <v>105.4</v>
          </cell>
        </row>
        <row r="28">
          <cell r="B28" t="str">
            <v>KOTA DEPOK</v>
          </cell>
          <cell r="C28">
            <v>100</v>
          </cell>
          <cell r="D28">
            <v>100</v>
          </cell>
          <cell r="E28">
            <v>99.94</v>
          </cell>
        </row>
        <row r="29">
          <cell r="B29" t="str">
            <v>KOTA CIMAHI</v>
          </cell>
          <cell r="C29">
            <v>99.6</v>
          </cell>
          <cell r="D29">
            <v>100.47</v>
          </cell>
          <cell r="E29">
            <v>96.49</v>
          </cell>
        </row>
        <row r="30">
          <cell r="B30" t="str">
            <v>KOTA TASIKMALAYA</v>
          </cell>
          <cell r="C30">
            <v>97.8</v>
          </cell>
          <cell r="D30">
            <v>81.099999999999994</v>
          </cell>
          <cell r="E30">
            <v>80.77</v>
          </cell>
        </row>
        <row r="31">
          <cell r="B31" t="str">
            <v>KOTA BANJAR</v>
          </cell>
          <cell r="C31">
            <v>97.2</v>
          </cell>
          <cell r="D31">
            <v>65.47</v>
          </cell>
          <cell r="E31">
            <v>58.24</v>
          </cell>
        </row>
        <row r="32">
          <cell r="B32" t="str">
            <v>JAWA BARAT</v>
          </cell>
          <cell r="C32">
            <v>94.4</v>
          </cell>
          <cell r="D32">
            <v>91.3</v>
          </cell>
          <cell r="E32">
            <v>89.09</v>
          </cell>
        </row>
        <row r="34">
          <cell r="B34" t="str">
            <v>Sumber : Profil Kesehatan Dinas Kesehatan Provinsi Jawa Barat, Tahun 2023-2025</v>
          </cell>
        </row>
      </sheetData>
      <sheetData sheetId="15"/>
      <sheetData sheetId="16">
        <row r="1">
          <cell r="A1" t="str">
            <v>Sum of hewan_terdampak</v>
          </cell>
          <cell r="B1" t="str">
            <v>Column Labels</v>
          </cell>
        </row>
        <row r="2">
          <cell r="A2" t="str">
            <v>Row Labels</v>
          </cell>
          <cell r="B2">
            <v>2024</v>
          </cell>
          <cell r="C2">
            <v>2025</v>
          </cell>
          <cell r="D2">
            <v>2026</v>
          </cell>
        </row>
        <row r="3">
          <cell r="A3" t="str">
            <v>Kab Bandung</v>
          </cell>
          <cell r="B3">
            <v>989</v>
          </cell>
          <cell r="C3">
            <v>930</v>
          </cell>
          <cell r="D3">
            <v>106</v>
          </cell>
        </row>
        <row r="4">
          <cell r="A4" t="str">
            <v>Kab Bandung Barat</v>
          </cell>
          <cell r="B4">
            <v>141</v>
          </cell>
          <cell r="C4">
            <v>121</v>
          </cell>
        </row>
        <row r="5">
          <cell r="A5" t="str">
            <v>Kab Bekasi</v>
          </cell>
          <cell r="B5">
            <v>127</v>
          </cell>
          <cell r="C5">
            <v>382</v>
          </cell>
          <cell r="D5">
            <v>44</v>
          </cell>
        </row>
        <row r="6">
          <cell r="A6" t="str">
            <v>Kab Bogor</v>
          </cell>
          <cell r="B6">
            <v>121</v>
          </cell>
          <cell r="C6">
            <v>48</v>
          </cell>
        </row>
        <row r="7">
          <cell r="A7" t="str">
            <v>Kab Ciamis</v>
          </cell>
          <cell r="C7">
            <v>26</v>
          </cell>
        </row>
        <row r="8">
          <cell r="A8" t="str">
            <v>Kab Cianjur</v>
          </cell>
          <cell r="B8">
            <v>38</v>
          </cell>
          <cell r="C8">
            <v>82</v>
          </cell>
        </row>
        <row r="9">
          <cell r="A9" t="str">
            <v>Kab Cirebon</v>
          </cell>
          <cell r="B9">
            <v>21</v>
          </cell>
          <cell r="C9">
            <v>249</v>
          </cell>
          <cell r="D9">
            <v>119</v>
          </cell>
        </row>
        <row r="10">
          <cell r="A10" t="str">
            <v>Kab Garut</v>
          </cell>
          <cell r="B10">
            <v>273</v>
          </cell>
          <cell r="C10">
            <v>743</v>
          </cell>
        </row>
        <row r="11">
          <cell r="A11" t="str">
            <v>Kab Indramayu</v>
          </cell>
          <cell r="B11">
            <v>492</v>
          </cell>
          <cell r="C11">
            <v>174</v>
          </cell>
          <cell r="D11">
            <v>256</v>
          </cell>
        </row>
        <row r="12">
          <cell r="A12" t="str">
            <v>Kab Karawang</v>
          </cell>
          <cell r="B12">
            <v>490</v>
          </cell>
          <cell r="C12">
            <v>98</v>
          </cell>
        </row>
        <row r="13">
          <cell r="A13" t="str">
            <v>Kota Banjar</v>
          </cell>
          <cell r="B13">
            <v>50</v>
          </cell>
          <cell r="C13">
            <v>33</v>
          </cell>
          <cell r="D13">
            <v>72</v>
          </cell>
        </row>
        <row r="14">
          <cell r="A14" t="str">
            <v>Kota Bekasi</v>
          </cell>
          <cell r="C14">
            <v>26</v>
          </cell>
        </row>
        <row r="15">
          <cell r="A15" t="str">
            <v>Kota Bogor</v>
          </cell>
          <cell r="C15">
            <v>13</v>
          </cell>
        </row>
        <row r="16">
          <cell r="A16" t="str">
            <v>Kota Cimahi</v>
          </cell>
          <cell r="C16">
            <v>53</v>
          </cell>
        </row>
        <row r="17">
          <cell r="A17" t="str">
            <v>Kota Cirebon</v>
          </cell>
          <cell r="B17">
            <v>6</v>
          </cell>
          <cell r="C17">
            <v>3</v>
          </cell>
        </row>
        <row r="18">
          <cell r="A18" t="str">
            <v>Kota Depok</v>
          </cell>
          <cell r="C18">
            <v>29</v>
          </cell>
          <cell r="D18">
            <v>29</v>
          </cell>
        </row>
        <row r="19">
          <cell r="A19" t="str">
            <v>Kota Tasikmalaya</v>
          </cell>
          <cell r="B19">
            <v>25</v>
          </cell>
        </row>
        <row r="20">
          <cell r="A20" t="str">
            <v>Kab Kuningan</v>
          </cell>
          <cell r="B20">
            <v>219</v>
          </cell>
          <cell r="C20">
            <v>214</v>
          </cell>
        </row>
        <row r="21">
          <cell r="A21" t="str">
            <v>Kab Majalengka</v>
          </cell>
          <cell r="B21">
            <v>43</v>
          </cell>
          <cell r="C21">
            <v>86</v>
          </cell>
          <cell r="D21">
            <v>16</v>
          </cell>
        </row>
        <row r="22">
          <cell r="A22" t="str">
            <v>Kab Pangandaran</v>
          </cell>
          <cell r="C22">
            <v>44</v>
          </cell>
        </row>
        <row r="23">
          <cell r="A23" t="str">
            <v>Kab Purwakarta</v>
          </cell>
          <cell r="B23">
            <v>120</v>
          </cell>
          <cell r="C23">
            <v>15</v>
          </cell>
        </row>
        <row r="24">
          <cell r="A24" t="str">
            <v>Kab Subang</v>
          </cell>
          <cell r="B24">
            <v>323</v>
          </cell>
          <cell r="C24">
            <v>164</v>
          </cell>
        </row>
        <row r="25">
          <cell r="A25" t="str">
            <v>Kab Sukabumi</v>
          </cell>
          <cell r="B25">
            <v>173</v>
          </cell>
          <cell r="C25">
            <v>174</v>
          </cell>
          <cell r="D25">
            <v>42</v>
          </cell>
        </row>
        <row r="26">
          <cell r="A26" t="str">
            <v>Kab Sumedang</v>
          </cell>
          <cell r="B26">
            <v>510</v>
          </cell>
          <cell r="C26">
            <v>110</v>
          </cell>
          <cell r="D26">
            <v>18</v>
          </cell>
        </row>
        <row r="27">
          <cell r="A27" t="str">
            <v>Kab Tasikmalaya</v>
          </cell>
          <cell r="B27">
            <v>83</v>
          </cell>
          <cell r="C27">
            <v>448</v>
          </cell>
          <cell r="D27">
            <v>27</v>
          </cell>
        </row>
        <row r="28">
          <cell r="A28" t="str">
            <v>Jawa Barat</v>
          </cell>
          <cell r="B28">
            <v>4244</v>
          </cell>
          <cell r="C28">
            <v>4265</v>
          </cell>
          <cell r="D28">
            <v>729</v>
          </cell>
        </row>
      </sheetData>
      <sheetData sheetId="17"/>
      <sheetData sheetId="18"/>
      <sheetData sheetId="19"/>
      <sheetData sheetId="20">
        <row r="1">
          <cell r="A1" t="str">
            <v>Sum of hewan_terdampak</v>
          </cell>
          <cell r="B1" t="str">
            <v>Column Labels</v>
          </cell>
        </row>
        <row r="2">
          <cell r="A2" t="str">
            <v>Row Labels</v>
          </cell>
          <cell r="B2">
            <v>2024</v>
          </cell>
          <cell r="C2">
            <v>2025</v>
          </cell>
          <cell r="D2">
            <v>2026</v>
          </cell>
        </row>
        <row r="3">
          <cell r="A3" t="str">
            <v>KAB BEKASI</v>
          </cell>
          <cell r="B3">
            <v>57</v>
          </cell>
          <cell r="D3">
            <v>104</v>
          </cell>
        </row>
        <row r="4">
          <cell r="A4" t="str">
            <v>KAB INDRAMAYU</v>
          </cell>
          <cell r="B4">
            <v>310</v>
          </cell>
          <cell r="C4">
            <v>1571</v>
          </cell>
          <cell r="D4">
            <v>348</v>
          </cell>
        </row>
        <row r="5">
          <cell r="A5" t="str">
            <v>KAB KARAWANG</v>
          </cell>
          <cell r="B5">
            <v>8444</v>
          </cell>
        </row>
        <row r="6">
          <cell r="A6" t="str">
            <v>KAB MAJALENGKA</v>
          </cell>
          <cell r="B6">
            <v>147</v>
          </cell>
          <cell r="D6">
            <v>90</v>
          </cell>
        </row>
        <row r="7">
          <cell r="A7" t="str">
            <v>KAB SUBANG</v>
          </cell>
          <cell r="B7">
            <v>1750</v>
          </cell>
        </row>
        <row r="8">
          <cell r="A8" t="str">
            <v>JAWA BARAT</v>
          </cell>
          <cell r="B8">
            <v>10708</v>
          </cell>
          <cell r="C8">
            <v>1571</v>
          </cell>
          <cell r="D8">
            <v>542</v>
          </cell>
        </row>
      </sheetData>
      <sheetData sheetId="21">
        <row r="1">
          <cell r="A1" t="str">
            <v>Sum of hewan_terdampak</v>
          </cell>
          <cell r="B1" t="str">
            <v>Column Labels</v>
          </cell>
        </row>
        <row r="2">
          <cell r="A2" t="str">
            <v>Row Labels</v>
          </cell>
          <cell r="B2">
            <v>2024</v>
          </cell>
          <cell r="C2">
            <v>2025</v>
          </cell>
          <cell r="D2">
            <v>2026</v>
          </cell>
        </row>
        <row r="3">
          <cell r="A3" t="str">
            <v>Kab Bandung</v>
          </cell>
          <cell r="B3">
            <v>64</v>
          </cell>
          <cell r="C3">
            <v>55</v>
          </cell>
        </row>
        <row r="4">
          <cell r="A4" t="str">
            <v>Kab Bekasi</v>
          </cell>
          <cell r="B4">
            <v>44</v>
          </cell>
          <cell r="C4">
            <v>33</v>
          </cell>
        </row>
        <row r="5">
          <cell r="A5" t="str">
            <v>Kab Ciamis</v>
          </cell>
          <cell r="D5">
            <v>1</v>
          </cell>
        </row>
        <row r="6">
          <cell r="A6" t="str">
            <v>Kab Cianjur</v>
          </cell>
          <cell r="B6">
            <v>25</v>
          </cell>
          <cell r="C6">
            <v>11</v>
          </cell>
        </row>
        <row r="7">
          <cell r="A7" t="str">
            <v>Kab Cirebon</v>
          </cell>
          <cell r="C7">
            <v>19</v>
          </cell>
        </row>
        <row r="8">
          <cell r="A8" t="str">
            <v>Kab Indramayu</v>
          </cell>
          <cell r="B8">
            <v>8</v>
          </cell>
          <cell r="C8">
            <v>162</v>
          </cell>
          <cell r="D8">
            <v>33</v>
          </cell>
        </row>
        <row r="9">
          <cell r="A9" t="str">
            <v>Kab Karawang</v>
          </cell>
          <cell r="B9">
            <v>94</v>
          </cell>
          <cell r="C9">
            <v>44</v>
          </cell>
        </row>
        <row r="10">
          <cell r="A10" t="str">
            <v>Kota Cimahi</v>
          </cell>
          <cell r="B10">
            <v>4</v>
          </cell>
        </row>
        <row r="11">
          <cell r="A11" t="str">
            <v>Kota Cirebon</v>
          </cell>
          <cell r="C11">
            <v>4</v>
          </cell>
        </row>
        <row r="12">
          <cell r="A12" t="str">
            <v>Kota Tasikmalaya</v>
          </cell>
          <cell r="B12">
            <v>7</v>
          </cell>
        </row>
        <row r="13">
          <cell r="A13" t="str">
            <v>Kab Kuningan</v>
          </cell>
          <cell r="B13">
            <v>66</v>
          </cell>
          <cell r="C13">
            <v>63</v>
          </cell>
        </row>
        <row r="14">
          <cell r="A14" t="str">
            <v>Kab Majalengka</v>
          </cell>
          <cell r="B14">
            <v>1</v>
          </cell>
          <cell r="C14">
            <v>7</v>
          </cell>
        </row>
        <row r="15">
          <cell r="A15" t="str">
            <v>Kab Purwakarta</v>
          </cell>
          <cell r="B15">
            <v>10</v>
          </cell>
          <cell r="C15">
            <v>5</v>
          </cell>
        </row>
        <row r="16">
          <cell r="A16" t="str">
            <v>Kab Subang</v>
          </cell>
          <cell r="B16">
            <v>120</v>
          </cell>
          <cell r="C16">
            <v>90</v>
          </cell>
        </row>
        <row r="17">
          <cell r="A17" t="str">
            <v>Kab Sukabumi</v>
          </cell>
          <cell r="B17">
            <v>101</v>
          </cell>
          <cell r="C17">
            <v>64</v>
          </cell>
          <cell r="D17">
            <v>14</v>
          </cell>
        </row>
        <row r="18">
          <cell r="A18" t="str">
            <v>Kab Sumedang</v>
          </cell>
          <cell r="B18">
            <v>44</v>
          </cell>
        </row>
        <row r="19">
          <cell r="A19" t="str">
            <v>Kab Tasikmalaya</v>
          </cell>
          <cell r="B19">
            <v>1</v>
          </cell>
          <cell r="D19">
            <v>41</v>
          </cell>
        </row>
        <row r="20">
          <cell r="A20" t="str">
            <v>JAWA BARAT</v>
          </cell>
          <cell r="B20">
            <v>589</v>
          </cell>
          <cell r="C20">
            <v>557</v>
          </cell>
          <cell r="D20">
            <v>89</v>
          </cell>
        </row>
      </sheetData>
      <sheetData sheetId="22">
        <row r="1">
          <cell r="D1" t="str">
            <v>NAMA KABUPATEN</v>
          </cell>
          <cell r="E1" t="str">
            <v>TIPE</v>
          </cell>
          <cell r="F1" t="str">
            <v>TAHUN</v>
          </cell>
          <cell r="G1" t="str">
            <v>IKP</v>
          </cell>
        </row>
        <row r="2">
          <cell r="D2" t="str">
            <v>Kota Banjar</v>
          </cell>
          <cell r="E2" t="str">
            <v>Kota</v>
          </cell>
          <cell r="F2">
            <v>2023</v>
          </cell>
          <cell r="G2">
            <v>79.55</v>
          </cell>
        </row>
        <row r="3">
          <cell r="D3" t="str">
            <v>Kota Tasikmalaya</v>
          </cell>
          <cell r="E3" t="str">
            <v>Kota</v>
          </cell>
          <cell r="F3">
            <v>2023</v>
          </cell>
          <cell r="G3">
            <v>72.709999999999994</v>
          </cell>
        </row>
        <row r="4">
          <cell r="D4" t="str">
            <v>Kota Cimahi</v>
          </cell>
          <cell r="E4" t="str">
            <v>Kota</v>
          </cell>
          <cell r="F4">
            <v>2023</v>
          </cell>
          <cell r="G4">
            <v>87.17</v>
          </cell>
        </row>
        <row r="5">
          <cell r="D5" t="str">
            <v>Kota Depok</v>
          </cell>
          <cell r="E5" t="str">
            <v>Kota</v>
          </cell>
          <cell r="F5">
            <v>2023</v>
          </cell>
          <cell r="G5">
            <v>89.47</v>
          </cell>
        </row>
        <row r="6">
          <cell r="D6" t="str">
            <v>Kota Bekasi</v>
          </cell>
          <cell r="E6" t="str">
            <v>Kota</v>
          </cell>
          <cell r="F6">
            <v>2023</v>
          </cell>
          <cell r="G6">
            <v>93.55</v>
          </cell>
        </row>
        <row r="7">
          <cell r="D7" t="str">
            <v>Kota Cirebon</v>
          </cell>
          <cell r="E7" t="str">
            <v>Kota</v>
          </cell>
          <cell r="F7">
            <v>2023</v>
          </cell>
          <cell r="G7">
            <v>83.77</v>
          </cell>
        </row>
        <row r="8">
          <cell r="D8" t="str">
            <v>Kota Bandung</v>
          </cell>
          <cell r="E8" t="str">
            <v>Kota</v>
          </cell>
          <cell r="F8">
            <v>2023</v>
          </cell>
          <cell r="G8">
            <v>90.46</v>
          </cell>
        </row>
        <row r="9">
          <cell r="D9" t="str">
            <v>Kota Sukabumi</v>
          </cell>
          <cell r="E9" t="str">
            <v>Kota</v>
          </cell>
          <cell r="F9">
            <v>2023</v>
          </cell>
          <cell r="G9">
            <v>79.08</v>
          </cell>
        </row>
        <row r="10">
          <cell r="D10" t="str">
            <v>Kota Bogor</v>
          </cell>
          <cell r="E10" t="str">
            <v>Kota</v>
          </cell>
          <cell r="F10">
            <v>2023</v>
          </cell>
          <cell r="G10">
            <v>83.78</v>
          </cell>
        </row>
        <row r="11">
          <cell r="D11" t="str">
            <v>Kab Pangandaran</v>
          </cell>
          <cell r="E11" t="str">
            <v>Kabupaten</v>
          </cell>
          <cell r="F11">
            <v>2023</v>
          </cell>
          <cell r="G11">
            <v>83.57</v>
          </cell>
        </row>
        <row r="12">
          <cell r="D12" t="str">
            <v>Kab Bandung Barat</v>
          </cell>
          <cell r="E12" t="str">
            <v>Kabupaten</v>
          </cell>
          <cell r="F12">
            <v>2023</v>
          </cell>
          <cell r="G12">
            <v>74.19</v>
          </cell>
        </row>
        <row r="13">
          <cell r="D13" t="str">
            <v>Kab Bekasi</v>
          </cell>
          <cell r="E13" t="str">
            <v>Kabupaten</v>
          </cell>
          <cell r="F13">
            <v>2023</v>
          </cell>
          <cell r="G13">
            <v>88.05</v>
          </cell>
        </row>
        <row r="14">
          <cell r="D14" t="str">
            <v>Kab Karawang</v>
          </cell>
          <cell r="E14" t="str">
            <v>Kabupaten</v>
          </cell>
          <cell r="F14">
            <v>2023</v>
          </cell>
          <cell r="G14">
            <v>88.48</v>
          </cell>
        </row>
        <row r="15">
          <cell r="D15" t="str">
            <v>Kab Purwakarta</v>
          </cell>
          <cell r="E15" t="str">
            <v>Kabupaten</v>
          </cell>
          <cell r="F15">
            <v>2023</v>
          </cell>
          <cell r="G15">
            <v>80.42</v>
          </cell>
        </row>
        <row r="16">
          <cell r="D16" t="str">
            <v>Kab Subang</v>
          </cell>
          <cell r="E16" t="str">
            <v>Kabupaten</v>
          </cell>
          <cell r="F16">
            <v>2023</v>
          </cell>
          <cell r="G16">
            <v>85.31</v>
          </cell>
        </row>
        <row r="17">
          <cell r="D17" t="str">
            <v>Kab Indramayu</v>
          </cell>
          <cell r="E17" t="str">
            <v>Kabupaten</v>
          </cell>
          <cell r="F17">
            <v>2023</v>
          </cell>
          <cell r="G17">
            <v>84.52</v>
          </cell>
        </row>
        <row r="18">
          <cell r="D18" t="str">
            <v>Kab Sumedang</v>
          </cell>
          <cell r="E18" t="str">
            <v>Kabupaten</v>
          </cell>
          <cell r="F18">
            <v>2023</v>
          </cell>
          <cell r="G18">
            <v>84.88</v>
          </cell>
        </row>
        <row r="19">
          <cell r="D19" t="str">
            <v>Kab Majalengka</v>
          </cell>
          <cell r="E19" t="str">
            <v>Kabupaten</v>
          </cell>
          <cell r="F19">
            <v>2023</v>
          </cell>
          <cell r="G19">
            <v>81.39</v>
          </cell>
        </row>
        <row r="20">
          <cell r="D20" t="str">
            <v>Kab Cirebon</v>
          </cell>
          <cell r="E20" t="str">
            <v>Kabupaten</v>
          </cell>
          <cell r="F20">
            <v>2023</v>
          </cell>
          <cell r="G20">
            <v>82.03</v>
          </cell>
        </row>
        <row r="21">
          <cell r="D21" t="str">
            <v>Kab Kuningan</v>
          </cell>
          <cell r="E21" t="str">
            <v>Kabupaten</v>
          </cell>
          <cell r="F21">
            <v>2023</v>
          </cell>
          <cell r="G21">
            <v>80.95</v>
          </cell>
        </row>
        <row r="22">
          <cell r="D22" t="str">
            <v>Kab Ciamis</v>
          </cell>
          <cell r="E22" t="str">
            <v>Kabupaten</v>
          </cell>
          <cell r="F22">
            <v>2023</v>
          </cell>
          <cell r="G22">
            <v>82.36</v>
          </cell>
        </row>
        <row r="23">
          <cell r="D23" t="str">
            <v>Kab Tasikmalaya</v>
          </cell>
          <cell r="E23" t="str">
            <v>Kabupaten</v>
          </cell>
          <cell r="F23">
            <v>2023</v>
          </cell>
          <cell r="G23">
            <v>75.680000000000007</v>
          </cell>
        </row>
        <row r="24">
          <cell r="D24" t="str">
            <v>Kab Garut</v>
          </cell>
          <cell r="E24" t="str">
            <v>Kabupaten</v>
          </cell>
          <cell r="F24">
            <v>2023</v>
          </cell>
          <cell r="G24">
            <v>78.040000000000006</v>
          </cell>
        </row>
        <row r="25">
          <cell r="D25" t="str">
            <v>Kab Bandung</v>
          </cell>
          <cell r="E25" t="str">
            <v>Kabupaten</v>
          </cell>
          <cell r="F25">
            <v>2023</v>
          </cell>
          <cell r="G25">
            <v>82.48</v>
          </cell>
        </row>
        <row r="26">
          <cell r="D26" t="str">
            <v>Kab Cianjur</v>
          </cell>
          <cell r="E26" t="str">
            <v>Kabupaten</v>
          </cell>
          <cell r="F26">
            <v>2023</v>
          </cell>
          <cell r="G26">
            <v>78.989999999999995</v>
          </cell>
        </row>
        <row r="27">
          <cell r="D27" t="str">
            <v>Kab Sukabumi</v>
          </cell>
          <cell r="E27" t="str">
            <v>Kabupaten</v>
          </cell>
          <cell r="F27">
            <v>2023</v>
          </cell>
          <cell r="G27">
            <v>77.650000000000006</v>
          </cell>
        </row>
        <row r="28">
          <cell r="D28" t="str">
            <v>Kab Bogor</v>
          </cell>
          <cell r="E28" t="str">
            <v>Kabupaten</v>
          </cell>
          <cell r="F28">
            <v>2023</v>
          </cell>
          <cell r="G28">
            <v>70.569999999999993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6E934-3AF3-1A42-8093-2F715674C8F5}">
  <dimension ref="A1:CS44"/>
  <sheetViews>
    <sheetView tabSelected="1" topLeftCell="CF1" workbookViewId="0">
      <selection activeCell="G19" sqref="G19"/>
    </sheetView>
  </sheetViews>
  <sheetFormatPr baseColWidth="10" defaultColWidth="11" defaultRowHeight="16" x14ac:dyDescent="0.2"/>
  <cols>
    <col min="1" max="1" width="11" style="6"/>
    <col min="2" max="2" width="20.5" style="6" customWidth="1"/>
    <col min="3" max="3" width="12.83203125" style="6" customWidth="1"/>
    <col min="4" max="5" width="12" style="6" bestFit="1" customWidth="1"/>
    <col min="6" max="44" width="11" style="6"/>
    <col min="45" max="45" width="14.6640625" style="6" customWidth="1"/>
    <col min="46" max="16384" width="11" style="6"/>
  </cols>
  <sheetData>
    <row r="1" spans="1:97" ht="17" x14ac:dyDescent="0.2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6" t="str">
        <f>C1&amp;"_z"</f>
        <v>Stunting2023_z</v>
      </c>
      <c r="AT1" s="6" t="str">
        <f>D1&amp;"_z"</f>
        <v>Stunting2024_z</v>
      </c>
      <c r="AU1" s="6" t="str">
        <f>E1&amp;"_z"</f>
        <v>Stunting2025_z</v>
      </c>
      <c r="AV1" s="6" t="str">
        <f t="shared" ref="AV1:BJ1" si="0">F1&amp;"_z"</f>
        <v>Wasting2023_z</v>
      </c>
      <c r="AW1" s="6" t="str">
        <f t="shared" si="0"/>
        <v>Wasting2024_z</v>
      </c>
      <c r="AX1" s="6" t="str">
        <f t="shared" si="0"/>
        <v>Wasting2025_z</v>
      </c>
      <c r="AY1" s="6" t="str">
        <f t="shared" si="0"/>
        <v>IDL2023_z</v>
      </c>
      <c r="AZ1" s="6" t="str">
        <f t="shared" si="0"/>
        <v>IDL2024_z</v>
      </c>
      <c r="BA1" s="6" t="str">
        <f t="shared" si="0"/>
        <v>IDL2025_z</v>
      </c>
      <c r="BB1" s="6" t="str">
        <f t="shared" si="0"/>
        <v>TalakGizi2023_z</v>
      </c>
      <c r="BC1" s="6" t="str">
        <f t="shared" si="0"/>
        <v>TalakGizi2024_z</v>
      </c>
      <c r="BD1" s="6" t="str">
        <f t="shared" si="0"/>
        <v>TalakGizi2025_z</v>
      </c>
      <c r="BE1" s="6" t="str">
        <f t="shared" si="0"/>
        <v>K6ANC2023_z</v>
      </c>
      <c r="BF1" s="6" t="str">
        <f t="shared" si="0"/>
        <v>K6ANC2024_z</v>
      </c>
      <c r="BG1" s="6" t="str">
        <f t="shared" si="0"/>
        <v>K6ANC2025_z</v>
      </c>
      <c r="BH1" s="6" t="str">
        <f t="shared" si="0"/>
        <v>PF2023_z</v>
      </c>
      <c r="BI1" s="6" t="str">
        <f t="shared" si="0"/>
        <v>PF2024_z</v>
      </c>
      <c r="BJ1" s="6" t="str">
        <f t="shared" si="0"/>
        <v>PF2025_z</v>
      </c>
      <c r="BK1" s="6" t="str">
        <f>U1&amp;"_z"</f>
        <v>HPAI2024_z</v>
      </c>
      <c r="BL1" s="6" t="str">
        <f>V1&amp;"_z"</f>
        <v>HPAI2025_z</v>
      </c>
      <c r="BM1" s="6" t="str">
        <f>W1&amp;"_z"</f>
        <v>HPAI2026_z</v>
      </c>
      <c r="BN1" s="6" t="str">
        <f t="shared" ref="BN1:BP1" si="1">X1&amp;"_z"</f>
        <v>LSD2024_z</v>
      </c>
      <c r="BO1" s="6" t="str">
        <f t="shared" si="1"/>
        <v>LSD2025_z</v>
      </c>
      <c r="BP1" s="6" t="str">
        <f t="shared" si="1"/>
        <v>LSD2026_z</v>
      </c>
      <c r="BQ1" s="6" t="str">
        <f>AA1&amp;"_z"</f>
        <v>PMK2024_z</v>
      </c>
      <c r="BR1" s="6" t="str">
        <f>AB1&amp;"_z"</f>
        <v>PMK2025_z</v>
      </c>
      <c r="BS1" s="6" t="str">
        <f>AC1&amp;"_z"</f>
        <v>PMK2026_z</v>
      </c>
      <c r="BT1" s="6" t="str">
        <f t="shared" ref="BT1:BX1" si="2">AD1&amp;"_z"</f>
        <v>Rabies2024_z</v>
      </c>
      <c r="BU1" s="6" t="str">
        <f t="shared" si="2"/>
        <v>Rabies2025_z</v>
      </c>
      <c r="BV1" s="6" t="str">
        <f t="shared" si="2"/>
        <v>Rabies2026_z</v>
      </c>
      <c r="BW1" s="6" t="str">
        <f t="shared" si="2"/>
        <v>VAR2024_z</v>
      </c>
      <c r="BX1" s="6" t="str">
        <f t="shared" si="2"/>
        <v>VAR2025_z</v>
      </c>
      <c r="BY1" s="6" t="str">
        <f>AI1&amp;"_z"</f>
        <v>DengueCase2023_z</v>
      </c>
      <c r="BZ1" s="6" t="str">
        <f>AJ1&amp;"_z"</f>
        <v>DengueCase2024_z</v>
      </c>
      <c r="CA1" s="6" t="str">
        <f>AK1&amp;"_z"</f>
        <v>IKP2023_z</v>
      </c>
      <c r="CB1" s="6" t="str">
        <f t="shared" ref="CB1:CH1" si="3">AL1&amp;"_z"</f>
        <v>IRBI_z</v>
      </c>
      <c r="CC1" s="6" t="str">
        <f t="shared" si="3"/>
        <v>HPAITotal_z</v>
      </c>
      <c r="CD1" s="6" t="str">
        <f t="shared" si="3"/>
        <v>LSDTotal_z</v>
      </c>
      <c r="CE1" s="6" t="str">
        <f t="shared" si="3"/>
        <v>PMKTotal_z</v>
      </c>
      <c r="CF1" s="6" t="str">
        <f t="shared" si="3"/>
        <v>StuntingSSGI_z</v>
      </c>
      <c r="CG1" s="6" t="str">
        <f t="shared" si="3"/>
        <v>WastingSSGi_z</v>
      </c>
      <c r="CH1" s="6" t="str">
        <f t="shared" si="3"/>
        <v>RabiesTotal_z</v>
      </c>
      <c r="CI1" s="7" t="s">
        <v>44</v>
      </c>
      <c r="CK1" s="7" t="s">
        <v>45</v>
      </c>
      <c r="CL1" s="7" t="s">
        <v>46</v>
      </c>
      <c r="CM1" s="7" t="s">
        <v>47</v>
      </c>
      <c r="CN1" s="7" t="s">
        <v>48</v>
      </c>
      <c r="CO1" s="7" t="s">
        <v>49</v>
      </c>
      <c r="CP1" s="7" t="s">
        <v>50</v>
      </c>
      <c r="CQ1" s="7" t="s">
        <v>51</v>
      </c>
      <c r="CR1" s="7" t="s">
        <v>52</v>
      </c>
      <c r="CS1" s="7" t="s">
        <v>53</v>
      </c>
    </row>
    <row r="2" spans="1:97" x14ac:dyDescent="0.2">
      <c r="A2" s="8">
        <v>1</v>
      </c>
      <c r="B2" s="1" t="s">
        <v>54</v>
      </c>
      <c r="C2" s="2">
        <f>VLOOKUP(B2, '[1]1. persentasi stunting'!B:C, 2, FALSE)</f>
        <v>1.65</v>
      </c>
      <c r="D2" s="2">
        <f>VLOOKUP(B2, '[1]1. persentasi stunting'!B:D, 3, FALSE)</f>
        <v>1.91</v>
      </c>
      <c r="E2" s="2">
        <f>VLOOKUP(B2, '[1]1. persentasi stunting'!B:E, 4, FALSE)</f>
        <v>2.36</v>
      </c>
      <c r="F2" s="2">
        <f>VLOOKUP(B2, '[1]2.  WASTING DAN SEVERE W'!B:C, 2, FALSE)</f>
        <v>2.4500000000000002</v>
      </c>
      <c r="G2" s="2">
        <f>VLOOKUP(B2, '[1]2.  WASTING DAN SEVERE W'!B:D, 3, FALSE)</f>
        <v>2.17</v>
      </c>
      <c r="H2" s="2">
        <f>VLOOKUP(B2, '[1]2.  WASTING DAN SEVERE W'!B:E, 4, FALSE)</f>
        <v>1.91</v>
      </c>
      <c r="I2" s="2">
        <f>VLOOKUP(B2, '[1]3. IMUNISASI DASAR LENGKAP'!B:C, 2, FALSE)</f>
        <v>97.1</v>
      </c>
      <c r="J2" s="2">
        <f>VLOOKUP(B2, '[1]3. IMUNISASI DASAR LENGKAP'!B:D, 3, FALSE)</f>
        <v>98.3</v>
      </c>
      <c r="K2" s="2">
        <f>VLOOKUP(B2, '[1]3. IMUNISASI DASAR LENGKAP'!B:E, 4, FALSE)</f>
        <v>98.2</v>
      </c>
      <c r="L2" s="2">
        <f>VLOOKUP(B2, '[1]4. GIZI BURUK'!B:C, 2, FALSE)</f>
        <v>97.05</v>
      </c>
      <c r="M2" s="2">
        <f>VLOOKUP(B2, '[1]4. GIZI BURUK'!B:D, 3, FALSE)</f>
        <v>88.01</v>
      </c>
      <c r="N2" s="2">
        <f>VLOOKUP(B2, '[1]4. GIZI BURUK'!B:E, 4, FALSE)</f>
        <v>96.96</v>
      </c>
      <c r="O2" s="2">
        <f>VLOOKUP(B2, '[1]5. KUNJUNGAN ANTENATAL K6'!B:C, 2, FALSE)</f>
        <v>62.3</v>
      </c>
      <c r="P2" s="2">
        <f>VLOOKUP(B2, '[1]5. KUNJUNGAN ANTENATAL K6'!B:D, 3, FALSE)</f>
        <v>89.5</v>
      </c>
      <c r="Q2" s="2">
        <f>VLOOKUP(B2, '[1]5. KUNJUNGAN ANTENATAL K6'!B:E, 4, FALSE)</f>
        <v>100</v>
      </c>
      <c r="R2" s="2">
        <f>VLOOKUP(B2, '[1]6. PF'!B:C, 2, FALSE)</f>
        <v>90.2</v>
      </c>
      <c r="S2" s="2">
        <f>VLOOKUP(B2, '[1]6. PF'!B:D, 3, FALSE)</f>
        <v>100</v>
      </c>
      <c r="T2" s="2">
        <f>VLOOKUP(B2, '[1]6. PF'!B:E, 4, FALSE)</f>
        <v>100</v>
      </c>
      <c r="U2" s="9">
        <f>IFERROR(VLOOKUP(B2, [1]HPAI!A:B, 2, FALSE), 0)</f>
        <v>0</v>
      </c>
      <c r="V2" s="9">
        <f>IFERROR(VLOOKUP(B2, [1]HPAI!A:C, 3, FALSE), 0)</f>
        <v>0</v>
      </c>
      <c r="W2" s="9">
        <f>IFERROR(VLOOKUP(B2, [1]HPAI!A:D, 4, FALSE), 0)</f>
        <v>0</v>
      </c>
      <c r="X2" s="9">
        <f>IFERROR(VLOOKUP(B2, [1]LSD!A:B, 2, FALSE), 0)</f>
        <v>0</v>
      </c>
      <c r="Y2" s="9">
        <f>IFERROR(VLOOKUP(B2, [1]LSD!A:C, 3, FALSE), 0)</f>
        <v>0</v>
      </c>
      <c r="Z2" s="9">
        <f>IFERROR(VLOOKUP(B2, [1]LSD!A:D, 4, FALSE), 0)</f>
        <v>0</v>
      </c>
      <c r="AA2" s="6">
        <f>IFERROR(VLOOKUP(B2, [1]PMK!A:B, 2, FALSE), 0)</f>
        <v>121</v>
      </c>
      <c r="AB2" s="6">
        <f>IFERROR(VLOOKUP(B2, [1]PMK!A:C, 3, FALSE), 0)</f>
        <v>48</v>
      </c>
      <c r="AC2" s="6">
        <f>IFERROR(VLOOKUP(B2, [1]PMK!A:D, 4, FALSE), 0)</f>
        <v>0</v>
      </c>
      <c r="AD2" s="6">
        <v>0</v>
      </c>
      <c r="AE2" s="6">
        <v>0</v>
      </c>
      <c r="AF2" s="6">
        <v>0</v>
      </c>
      <c r="AG2" s="6">
        <f>VLOOKUP(B2, [1]GHPR2024!B:S, 18, FALSE)</f>
        <v>99.193548387096769</v>
      </c>
      <c r="AH2" s="6">
        <f>VLOOKUP(B2, [1]GHPR2025!B:AE, 30, FALSE)</f>
        <v>100</v>
      </c>
      <c r="AI2" s="6">
        <f>VLOOKUP(B2, [1]Dengue2023!B:E, 4, FALSE)</f>
        <v>1881</v>
      </c>
      <c r="AJ2" s="6">
        <f>VLOOKUP(B2, [1]Dengue2024!B:E, 4, FALSE)</f>
        <v>3404</v>
      </c>
      <c r="AK2" s="6">
        <f>VLOOKUP(B2, [1]Food!D:G, 4, FALSE)</f>
        <v>70.569999999999993</v>
      </c>
      <c r="AL2" s="6">
        <f>VLOOKUP(B2, [1]IRBI!E:F, 2, FALSE)</f>
        <v>101.72</v>
      </c>
      <c r="AM2" s="10">
        <f t="shared" ref="AM2:AM28" si="4">SUM(U2:W2)</f>
        <v>0</v>
      </c>
      <c r="AN2" s="10">
        <f t="shared" ref="AN2:AN28" si="5">SUM(X2:Z2)</f>
        <v>0</v>
      </c>
      <c r="AO2" s="6">
        <f t="shared" ref="AO2:AO28" si="6">SUM(AA2:AC2)</f>
        <v>169</v>
      </c>
      <c r="AP2" s="6">
        <f>VLOOKUP(B2, [1]StuntingSSGI!A:B, 2, FALSE)</f>
        <v>18.899999999999999</v>
      </c>
      <c r="AQ2" s="6">
        <f>VLOOKUP(B2, [1]StuntingSSGI!A:L, 12, FALSE)</f>
        <v>5.3999999999999995</v>
      </c>
      <c r="AR2" s="6">
        <f t="shared" ref="AR2:AR28" si="7">SUM(AD2:AF2)</f>
        <v>0</v>
      </c>
      <c r="AS2" s="6">
        <f>(C2 - AVERAGE(C$2:C$28)) / STDEV(C$2:C$28)</f>
        <v>-1.1641775390478422</v>
      </c>
      <c r="AT2" s="6">
        <f t="shared" ref="AT2:BH17" si="8">(D2 - AVERAGE(D$2:D$28)) / STDEV(D$2:D$28)</f>
        <v>-1.0537299341579014</v>
      </c>
      <c r="AU2" s="6">
        <f t="shared" si="8"/>
        <v>-1.3721727796282059</v>
      </c>
      <c r="AV2" s="6">
        <f t="shared" si="8"/>
        <v>-0.70551923975762632</v>
      </c>
      <c r="AW2" s="6">
        <f t="shared" si="8"/>
        <v>-0.99740623093761227</v>
      </c>
      <c r="AX2" s="6">
        <f t="shared" si="8"/>
        <v>-1.2211642454963558</v>
      </c>
      <c r="AY2" s="6">
        <f t="shared" si="8"/>
        <v>-0.12937716668122554</v>
      </c>
      <c r="AZ2" s="6">
        <f t="shared" si="8"/>
        <v>0.62601819559207661</v>
      </c>
      <c r="BA2" s="6">
        <f t="shared" si="8"/>
        <v>0.76472734746586191</v>
      </c>
      <c r="BB2" s="6">
        <f t="shared" si="8"/>
        <v>-0.13848756908422583</v>
      </c>
      <c r="BC2" s="6">
        <f t="shared" si="8"/>
        <v>-0.45266662925739037</v>
      </c>
      <c r="BD2" s="6">
        <f t="shared" si="8"/>
        <v>2.7149438590292101E-2</v>
      </c>
      <c r="BE2" s="6">
        <f t="shared" si="8"/>
        <v>-1.887931317618134</v>
      </c>
      <c r="BF2" s="6">
        <f t="shared" si="8"/>
        <v>0.22773385006274988</v>
      </c>
      <c r="BG2" s="6">
        <f t="shared" si="8"/>
        <v>1.0118642478428288</v>
      </c>
      <c r="BH2" s="6">
        <f>(R2 - AVERAGE(R$2:R$28)) / STDEV(R$2:R$28)</f>
        <v>-0.83467850487422091</v>
      </c>
      <c r="BI2" s="6">
        <f t="shared" ref="BI2:BJ28" si="9">(S2 - AVERAGE(S$2:S$28)) / STDEV(S$2:S$28)</f>
        <v>1.0235164351802624</v>
      </c>
      <c r="BJ2" s="6">
        <f t="shared" si="9"/>
        <v>1.0836771744384743</v>
      </c>
      <c r="BK2" s="6">
        <f>(CK2 - AVERAGE(CK$2:CK$28)) / STDEV(CK$2:CK$28)</f>
        <v>-0.44614244817577825</v>
      </c>
      <c r="BL2" s="6">
        <f t="shared" ref="BL2:BS17" si="10">(CL2 - AVERAGE(CL$2:CL$28)) / STDEV(CL$2:CL$28)</f>
        <v>-0.19245008972987526</v>
      </c>
      <c r="BM2" s="6">
        <f t="shared" si="10"/>
        <v>-0.34414965772374678</v>
      </c>
      <c r="BN2" s="6">
        <f t="shared" si="10"/>
        <v>-0.85327902058065852</v>
      </c>
      <c r="BO2" s="6">
        <f t="shared" si="10"/>
        <v>-0.80410859391096701</v>
      </c>
      <c r="BP2" s="6">
        <f t="shared" si="10"/>
        <v>-0.36769283680818904</v>
      </c>
      <c r="BQ2" s="6">
        <f t="shared" si="10"/>
        <v>0.58120669969719208</v>
      </c>
      <c r="BR2" s="6">
        <f t="shared" si="10"/>
        <v>-3.4288222733983249E-2</v>
      </c>
      <c r="BS2" s="6">
        <f t="shared" si="10"/>
        <v>-0.72739008743679756</v>
      </c>
      <c r="BT2" s="6">
        <v>0</v>
      </c>
      <c r="BU2" s="6">
        <f t="shared" ref="BU2:BU28" si="11">(AE2 - AVERAGE(AE$2:AE$28)) / STDEV(AE$2:AE$28)</f>
        <v>-0.19245008972987523</v>
      </c>
      <c r="BV2" s="6">
        <v>0</v>
      </c>
      <c r="BW2" s="6">
        <f t="shared" ref="BW2:CH28" si="12">(AG2 - AVERAGE(AG$2:AG$28)) / STDEV(AG$2:AG$28)</f>
        <v>1.1405294381811222</v>
      </c>
      <c r="BX2" s="6">
        <f t="shared" si="12"/>
        <v>1.2837757554459532</v>
      </c>
      <c r="BY2" s="6">
        <f t="shared" si="12"/>
        <v>2.2017785559865772</v>
      </c>
      <c r="BZ2" s="6">
        <f t="shared" si="12"/>
        <v>0.68618144163630335</v>
      </c>
      <c r="CA2" s="6">
        <f t="shared" si="12"/>
        <v>-2.1214274022060917</v>
      </c>
      <c r="CB2" s="6">
        <f t="shared" si="12"/>
        <v>-0.45029921286290009</v>
      </c>
      <c r="CC2" s="6">
        <f t="shared" si="12"/>
        <v>-0.28275841728929912</v>
      </c>
      <c r="CD2" s="6">
        <f t="shared" si="12"/>
        <v>-0.6667522358796133</v>
      </c>
      <c r="CE2" s="6">
        <f t="shared" si="12"/>
        <v>-0.39076924349141395</v>
      </c>
      <c r="CF2" s="6">
        <f t="shared" si="12"/>
        <v>0.21669253925954607</v>
      </c>
      <c r="CG2" s="6">
        <f t="shared" si="12"/>
        <v>0.33119223303264506</v>
      </c>
      <c r="CH2" s="6">
        <f t="shared" si="12"/>
        <v>-0.19245008972987523</v>
      </c>
      <c r="CK2" s="6">
        <f>LN(U2+1)</f>
        <v>0</v>
      </c>
      <c r="CL2" s="6">
        <f t="shared" ref="CL2:CS17" si="13">LN(V2+1)</f>
        <v>0</v>
      </c>
      <c r="CM2" s="6">
        <f t="shared" si="13"/>
        <v>0</v>
      </c>
      <c r="CN2" s="6">
        <f t="shared" si="13"/>
        <v>0</v>
      </c>
      <c r="CO2" s="6">
        <f t="shared" si="13"/>
        <v>0</v>
      </c>
      <c r="CP2" s="6">
        <f t="shared" si="13"/>
        <v>0</v>
      </c>
      <c r="CQ2" s="6">
        <f t="shared" si="13"/>
        <v>4.8040210447332568</v>
      </c>
      <c r="CR2" s="6">
        <f t="shared" si="13"/>
        <v>3.8918202981106265</v>
      </c>
      <c r="CS2" s="6">
        <f t="shared" si="13"/>
        <v>0</v>
      </c>
    </row>
    <row r="3" spans="1:97" x14ac:dyDescent="0.2">
      <c r="A3" s="8">
        <v>2</v>
      </c>
      <c r="B3" s="1" t="s">
        <v>55</v>
      </c>
      <c r="C3" s="2">
        <f>VLOOKUP(B3, '[1]1. persentasi stunting'!B:C, 2, FALSE)</f>
        <v>7.61</v>
      </c>
      <c r="D3" s="2">
        <f>VLOOKUP(B3, '[1]1. persentasi stunting'!B:D, 3, FALSE)</f>
        <v>8.83</v>
      </c>
      <c r="E3" s="2">
        <f>VLOOKUP(B3, '[1]1. persentasi stunting'!B:E, 4, FALSE)</f>
        <v>10.26</v>
      </c>
      <c r="F3" s="2">
        <f>VLOOKUP(B3, '[1]2.  WASTING DAN SEVERE W'!B:C, 2, FALSE)</f>
        <v>4</v>
      </c>
      <c r="G3" s="2">
        <f>VLOOKUP(B3, '[1]2.  WASTING DAN SEVERE W'!B:D, 3, FALSE)</f>
        <v>4.28</v>
      </c>
      <c r="H3" s="2">
        <f>VLOOKUP(B3, '[1]2.  WASTING DAN SEVERE W'!B:E, 4, FALSE)</f>
        <v>3.98</v>
      </c>
      <c r="I3" s="2">
        <f>VLOOKUP(B3, '[1]3. IMUNISASI DASAR LENGKAP'!B:C, 2, FALSE)</f>
        <v>101.69999999999999</v>
      </c>
      <c r="J3" s="2">
        <f>VLOOKUP(B3, '[1]3. IMUNISASI DASAR LENGKAP'!B:D, 3, FALSE)</f>
        <v>69.199999999999989</v>
      </c>
      <c r="K3" s="2">
        <f>VLOOKUP(B3, '[1]3. IMUNISASI DASAR LENGKAP'!B:E, 4, FALSE)</f>
        <v>91.2</v>
      </c>
      <c r="L3" s="2">
        <f>VLOOKUP(B3, '[1]4. GIZI BURUK'!B:C, 2, FALSE)</f>
        <v>99.62</v>
      </c>
      <c r="M3" s="2">
        <f>VLOOKUP(B3, '[1]4. GIZI BURUK'!B:D, 3, FALSE)</f>
        <v>78.83</v>
      </c>
      <c r="N3" s="2">
        <f>VLOOKUP(B3, '[1]4. GIZI BURUK'!B:E, 4, FALSE)</f>
        <v>99.24</v>
      </c>
      <c r="O3" s="2">
        <f>VLOOKUP(B3, '[1]5. KUNJUNGAN ANTENATAL K6'!B:C, 2, FALSE)</f>
        <v>81.099999999999994</v>
      </c>
      <c r="P3" s="2">
        <f>VLOOKUP(B3, '[1]5. KUNJUNGAN ANTENATAL K6'!B:D, 3, FALSE)</f>
        <v>97.9</v>
      </c>
      <c r="Q3" s="2">
        <f>VLOOKUP(B3, '[1]5. KUNJUNGAN ANTENATAL K6'!B:E, 4, FALSE)</f>
        <v>98.91</v>
      </c>
      <c r="R3" s="2">
        <f>VLOOKUP(B3, '[1]6. PF'!B:C, 2, FALSE)</f>
        <v>96.3</v>
      </c>
      <c r="S3" s="2">
        <f>VLOOKUP(B3, '[1]6. PF'!B:D, 3, FALSE)</f>
        <v>97.46</v>
      </c>
      <c r="T3" s="2">
        <f>VLOOKUP(B3, '[1]6. PF'!B:E, 4, FALSE)</f>
        <v>97.79</v>
      </c>
      <c r="U3" s="9">
        <f>IFERROR(VLOOKUP(B3, [1]HPAI!A:B, 2, FALSE), 0)</f>
        <v>0</v>
      </c>
      <c r="V3" s="9">
        <f>IFERROR(VLOOKUP(B3, [1]HPAI!A:C, 3, FALSE), 0)</f>
        <v>0</v>
      </c>
      <c r="W3" s="9">
        <f>IFERROR(VLOOKUP(B3, [1]HPAI!A:D, 4, FALSE), 0)</f>
        <v>0</v>
      </c>
      <c r="X3" s="9">
        <f>IFERROR(VLOOKUP(B3, [1]LSD!A:B, 2, FALSE), 0)</f>
        <v>101</v>
      </c>
      <c r="Y3" s="9">
        <f>IFERROR(VLOOKUP(B3, [1]LSD!A:C, 3, FALSE), 0)</f>
        <v>64</v>
      </c>
      <c r="Z3" s="9">
        <f>IFERROR(VLOOKUP(B3, [1]LSD!A:D, 4, FALSE), 0)</f>
        <v>14</v>
      </c>
      <c r="AA3" s="6">
        <f>IFERROR(VLOOKUP(B3, [1]PMK!A:B, 2, FALSE), 0)</f>
        <v>173</v>
      </c>
      <c r="AB3" s="6">
        <f>IFERROR(VLOOKUP(B3, [1]PMK!A:C, 3, FALSE), 0)</f>
        <v>174</v>
      </c>
      <c r="AC3" s="6">
        <f>IFERROR(VLOOKUP(B3, [1]PMK!A:D, 4, FALSE), 0)</f>
        <v>42</v>
      </c>
      <c r="AD3" s="6">
        <v>0</v>
      </c>
      <c r="AE3" s="6">
        <v>0</v>
      </c>
      <c r="AF3" s="6">
        <v>0</v>
      </c>
      <c r="AG3" s="6">
        <f>VLOOKUP(B3, [1]GHPR2024!B:S, 18, FALSE)</f>
        <v>62.142857142857146</v>
      </c>
      <c r="AH3" s="6">
        <f>VLOOKUP(B3, [1]GHPR2025!B:AE, 30, FALSE)</f>
        <v>54.112554112554115</v>
      </c>
      <c r="AI3" s="6">
        <f>VLOOKUP(B3, [1]Dengue2023!B:E, 4, FALSE)</f>
        <v>113</v>
      </c>
      <c r="AJ3" s="6">
        <f>VLOOKUP(B3, [1]Dengue2024!B:E, 4, FALSE)</f>
        <v>841</v>
      </c>
      <c r="AK3" s="6">
        <f>VLOOKUP(B3, [1]Food!D:G, 4, FALSE)</f>
        <v>77.650000000000006</v>
      </c>
      <c r="AL3" s="6">
        <f>VLOOKUP(B3, [1]IRBI!E:F, 2, FALSE)</f>
        <v>168.97</v>
      </c>
      <c r="AM3" s="10">
        <f t="shared" si="4"/>
        <v>0</v>
      </c>
      <c r="AN3" s="10">
        <f t="shared" si="5"/>
        <v>179</v>
      </c>
      <c r="AO3" s="6">
        <f t="shared" si="6"/>
        <v>389</v>
      </c>
      <c r="AP3" s="6">
        <f>VLOOKUP(B3, [1]StuntingSSGI!A:B, 2, FALSE)</f>
        <v>20.5</v>
      </c>
      <c r="AQ3" s="6">
        <f>VLOOKUP(B3, [1]StuntingSSGI!A:L, 12, FALSE)</f>
        <v>3.5</v>
      </c>
      <c r="AR3" s="6">
        <f t="shared" si="7"/>
        <v>0</v>
      </c>
      <c r="AS3" s="6">
        <f t="shared" ref="AS3:BH28" si="14">(C3 - AVERAGE(C$2:C$28)) / STDEV(C$2:C$28)</f>
        <v>0.5506000315112316</v>
      </c>
      <c r="AT3" s="6">
        <f t="shared" si="8"/>
        <v>0.91564988876960063</v>
      </c>
      <c r="AU3" s="6">
        <f t="shared" si="8"/>
        <v>0.53282887290170966</v>
      </c>
      <c r="AV3" s="6">
        <f t="shared" si="8"/>
        <v>0.31226704717297193</v>
      </c>
      <c r="AW3" s="6">
        <f t="shared" si="8"/>
        <v>0.37943488795058217</v>
      </c>
      <c r="AX3" s="6">
        <f t="shared" si="8"/>
        <v>0.14412620620981215</v>
      </c>
      <c r="AY3" s="6">
        <f t="shared" si="8"/>
        <v>0.48159789422402399</v>
      </c>
      <c r="AZ3" s="6">
        <f t="shared" si="8"/>
        <v>-1.6864524027938959</v>
      </c>
      <c r="BA3" s="6">
        <f t="shared" si="8"/>
        <v>0.18450467114692182</v>
      </c>
      <c r="BB3" s="6">
        <f t="shared" si="8"/>
        <v>0.18948691619749294</v>
      </c>
      <c r="BC3" s="6">
        <f t="shared" si="8"/>
        <v>-1.2125579311723027</v>
      </c>
      <c r="BD3" s="6">
        <f t="shared" si="8"/>
        <v>0.27329368595676018</v>
      </c>
      <c r="BE3" s="6">
        <f t="shared" si="8"/>
        <v>-0.19956990672496072</v>
      </c>
      <c r="BF3" s="6">
        <f t="shared" si="8"/>
        <v>0.9372123829505481</v>
      </c>
      <c r="BG3" s="6">
        <f t="shared" si="8"/>
        <v>0.9366605385291904</v>
      </c>
      <c r="BH3" s="6">
        <f t="shared" si="8"/>
        <v>4.8814745465008837E-2</v>
      </c>
      <c r="BI3" s="6">
        <f t="shared" si="9"/>
        <v>0.80535034726871146</v>
      </c>
      <c r="BJ3" s="6">
        <f t="shared" si="9"/>
        <v>0.92416900453111706</v>
      </c>
      <c r="BK3" s="6">
        <f t="shared" ref="BK3:BS28" si="15">(CK3 - AVERAGE(CK$2:CK$28)) / STDEV(CK$2:CK$28)</f>
        <v>-0.44614244817577825</v>
      </c>
      <c r="BL3" s="6">
        <f t="shared" si="10"/>
        <v>-0.19245008972987526</v>
      </c>
      <c r="BM3" s="6">
        <f t="shared" si="10"/>
        <v>-0.34414965772374678</v>
      </c>
      <c r="BN3" s="6">
        <f t="shared" si="10"/>
        <v>1.6307286728105173</v>
      </c>
      <c r="BO3" s="6">
        <f t="shared" si="10"/>
        <v>1.4471430955450595</v>
      </c>
      <c r="BP3" s="6">
        <f t="shared" si="10"/>
        <v>2.153090501003057</v>
      </c>
      <c r="BQ3" s="6">
        <f t="shared" si="10"/>
        <v>0.7251041600156295</v>
      </c>
      <c r="BR3" s="6">
        <f t="shared" si="10"/>
        <v>0.63917808009373844</v>
      </c>
      <c r="BS3" s="6">
        <f t="shared" si="10"/>
        <v>1.1484482361824144</v>
      </c>
      <c r="BT3" s="6">
        <v>0</v>
      </c>
      <c r="BU3" s="6">
        <f t="shared" si="11"/>
        <v>-0.19245008972987523</v>
      </c>
      <c r="BV3" s="6">
        <v>0</v>
      </c>
      <c r="BW3" s="6">
        <f t="shared" si="12"/>
        <v>-3.1830578496140322E-2</v>
      </c>
      <c r="BX3" s="6">
        <f t="shared" si="12"/>
        <v>-0.23100577230269612</v>
      </c>
      <c r="BY3" s="6">
        <f t="shared" si="12"/>
        <v>-1.1392081616006076</v>
      </c>
      <c r="BZ3" s="6">
        <f t="shared" si="12"/>
        <v>-0.87145155631921045</v>
      </c>
      <c r="CA3" s="6">
        <f t="shared" si="12"/>
        <v>-0.82873012699740478</v>
      </c>
      <c r="CB3" s="6">
        <f t="shared" si="12"/>
        <v>1.9853004170322703</v>
      </c>
      <c r="CC3" s="6">
        <f t="shared" si="12"/>
        <v>-0.28275841728929912</v>
      </c>
      <c r="CD3" s="6">
        <f t="shared" si="12"/>
        <v>1.9424895098743713</v>
      </c>
      <c r="CE3" s="6">
        <f t="shared" si="12"/>
        <v>0.10573756000355905</v>
      </c>
      <c r="CF3" s="6">
        <f t="shared" si="12"/>
        <v>0.54515280929507048</v>
      </c>
      <c r="CG3" s="6">
        <f t="shared" si="12"/>
        <v>-0.78658155345253455</v>
      </c>
      <c r="CH3" s="6">
        <f t="shared" si="12"/>
        <v>-0.19245008972987523</v>
      </c>
      <c r="CK3" s="6">
        <f t="shared" ref="CK3:CS28" si="16">LN(U3+1)</f>
        <v>0</v>
      </c>
      <c r="CL3" s="6">
        <f t="shared" si="13"/>
        <v>0</v>
      </c>
      <c r="CM3" s="6">
        <f t="shared" si="13"/>
        <v>0</v>
      </c>
      <c r="CN3" s="6">
        <f t="shared" si="13"/>
        <v>4.6249728132842707</v>
      </c>
      <c r="CO3" s="6">
        <f t="shared" si="13"/>
        <v>4.1743872698956368</v>
      </c>
      <c r="CP3" s="6">
        <f t="shared" si="13"/>
        <v>2.7080502011022101</v>
      </c>
      <c r="CQ3" s="6">
        <f t="shared" si="13"/>
        <v>5.1590552992145291</v>
      </c>
      <c r="CR3" s="6">
        <f t="shared" si="13"/>
        <v>5.1647859739235145</v>
      </c>
      <c r="CS3" s="6">
        <f t="shared" si="13"/>
        <v>3.7612001156935624</v>
      </c>
    </row>
    <row r="4" spans="1:97" x14ac:dyDescent="0.2">
      <c r="A4" s="8">
        <v>3</v>
      </c>
      <c r="B4" s="1" t="s">
        <v>56</v>
      </c>
      <c r="C4" s="2">
        <f>VLOOKUP(B4, '[1]1. persentasi stunting'!B:C, 2, FALSE)</f>
        <v>2.9</v>
      </c>
      <c r="D4" s="2">
        <f>VLOOKUP(B4, '[1]1. persentasi stunting'!B:D, 3, FALSE)</f>
        <v>2.5</v>
      </c>
      <c r="E4" s="2">
        <f>VLOOKUP(B4, '[1]1. persentasi stunting'!B:E, 4, FALSE)</f>
        <v>3.07</v>
      </c>
      <c r="F4" s="2">
        <f>VLOOKUP(B4, '[1]2.  WASTING DAN SEVERE W'!B:C, 2, FALSE)</f>
        <v>1.94</v>
      </c>
      <c r="G4" s="2">
        <f>VLOOKUP(B4, '[1]2.  WASTING DAN SEVERE W'!B:D, 3, FALSE)</f>
        <v>1.85</v>
      </c>
      <c r="H4" s="2">
        <f>VLOOKUP(B4, '[1]2.  WASTING DAN SEVERE W'!B:E, 4, FALSE)</f>
        <v>1.96</v>
      </c>
      <c r="I4" s="2">
        <f>VLOOKUP(B4, '[1]3. IMUNISASI DASAR LENGKAP'!B:C, 2, FALSE)</f>
        <v>100.49999999999999</v>
      </c>
      <c r="J4" s="2">
        <f>VLOOKUP(B4, '[1]3. IMUNISASI DASAR LENGKAP'!B:D, 3, FALSE)</f>
        <v>84.399999999999991</v>
      </c>
      <c r="K4" s="2">
        <f>VLOOKUP(B4, '[1]3. IMUNISASI DASAR LENGKAP'!B:E, 4, FALSE)</f>
        <v>91.7</v>
      </c>
      <c r="L4" s="2">
        <f>VLOOKUP(B4, '[1]4. GIZI BURUK'!B:C, 2, FALSE)</f>
        <v>89.17</v>
      </c>
      <c r="M4" s="2">
        <f>VLOOKUP(B4, '[1]4. GIZI BURUK'!B:D, 3, FALSE)</f>
        <v>100</v>
      </c>
      <c r="N4" s="2">
        <f>VLOOKUP(B4, '[1]4. GIZI BURUK'!B:E, 4, FALSE)</f>
        <v>98.95</v>
      </c>
      <c r="O4" s="2">
        <f>VLOOKUP(B4, '[1]5. KUNJUNGAN ANTENATAL K6'!B:C, 2, FALSE)</f>
        <v>80.5</v>
      </c>
      <c r="P4" s="2">
        <f>VLOOKUP(B4, '[1]5. KUNJUNGAN ANTENATAL K6'!B:D, 3, FALSE)</f>
        <v>88.7</v>
      </c>
      <c r="Q4" s="2">
        <f>VLOOKUP(B4, '[1]5. KUNJUNGAN ANTENATAL K6'!B:E, 4, FALSE)</f>
        <v>92.66</v>
      </c>
      <c r="R4" s="2">
        <f>VLOOKUP(B4, '[1]6. PF'!B:C, 2, FALSE)</f>
        <v>92.7</v>
      </c>
      <c r="S4" s="2">
        <f>VLOOKUP(B4, '[1]6. PF'!B:D, 3, FALSE)</f>
        <v>88.14</v>
      </c>
      <c r="T4" s="2">
        <f>VLOOKUP(B4, '[1]6. PF'!B:E, 4, FALSE)</f>
        <v>91.72</v>
      </c>
      <c r="U4" s="9">
        <f>IFERROR(VLOOKUP(B4, [1]HPAI!A:B, 2, FALSE), 0)</f>
        <v>0</v>
      </c>
      <c r="V4" s="9">
        <f>IFERROR(VLOOKUP(B4, [1]HPAI!A:C, 3, FALSE), 0)</f>
        <v>0</v>
      </c>
      <c r="W4" s="9">
        <f>IFERROR(VLOOKUP(B4, [1]HPAI!A:D, 4, FALSE), 0)</f>
        <v>0</v>
      </c>
      <c r="X4" s="9">
        <f>IFERROR(VLOOKUP(B4, [1]LSD!A:B, 2, FALSE), 0)</f>
        <v>25</v>
      </c>
      <c r="Y4" s="9">
        <f>IFERROR(VLOOKUP(B4, [1]LSD!A:C, 3, FALSE), 0)</f>
        <v>11</v>
      </c>
      <c r="Z4" s="9">
        <f>IFERROR(VLOOKUP(B4, [1]LSD!A:D, 4, FALSE), 0)</f>
        <v>0</v>
      </c>
      <c r="AA4" s="6">
        <f>IFERROR(VLOOKUP(B4, [1]PMK!A:B, 2, FALSE), 0)</f>
        <v>38</v>
      </c>
      <c r="AB4" s="6">
        <f>IFERROR(VLOOKUP(B4, [1]PMK!A:C, 3, FALSE), 0)</f>
        <v>82</v>
      </c>
      <c r="AC4" s="6">
        <f>IFERROR(VLOOKUP(B4, [1]PMK!A:D, 4, FALSE), 0)</f>
        <v>0</v>
      </c>
      <c r="AD4" s="6">
        <v>0</v>
      </c>
      <c r="AE4" s="6">
        <v>0</v>
      </c>
      <c r="AF4" s="6">
        <v>0</v>
      </c>
      <c r="AG4" s="6">
        <f>VLOOKUP(B4, [1]GHPR2024!B:S, 18, FALSE)</f>
        <v>88.372093023255815</v>
      </c>
      <c r="AH4" s="6">
        <f>VLOOKUP(B4, [1]GHPR2025!B:AE, 30, FALSE)</f>
        <v>84.615384615384613</v>
      </c>
      <c r="AI4" s="6">
        <f>VLOOKUP(B4, [1]Dengue2023!B:E, 4, FALSE)</f>
        <v>829</v>
      </c>
      <c r="AJ4" s="6">
        <f>VLOOKUP(B4, [1]Dengue2024!B:E, 4, FALSE)</f>
        <v>1932</v>
      </c>
      <c r="AK4" s="6">
        <f>VLOOKUP(B4, [1]Food!D:G, 4, FALSE)</f>
        <v>78.989999999999995</v>
      </c>
      <c r="AL4" s="6">
        <f>VLOOKUP(B4, [1]IRBI!E:F, 2, FALSE)</f>
        <v>165.17</v>
      </c>
      <c r="AM4" s="10">
        <f t="shared" si="4"/>
        <v>0</v>
      </c>
      <c r="AN4" s="10">
        <f t="shared" si="5"/>
        <v>36</v>
      </c>
      <c r="AO4" s="6">
        <f t="shared" si="6"/>
        <v>120</v>
      </c>
      <c r="AP4" s="6">
        <f>VLOOKUP(B4, [1]StuntingSSGI!A:B, 2, FALSE)</f>
        <v>7.2</v>
      </c>
      <c r="AQ4" s="6">
        <f>VLOOKUP(B4, [1]StuntingSSGI!A:L, 12, FALSE)</f>
        <v>3.4</v>
      </c>
      <c r="AR4" s="6">
        <f t="shared" si="7"/>
        <v>0</v>
      </c>
      <c r="AS4" s="6">
        <f t="shared" si="14"/>
        <v>-0.80453459220239876</v>
      </c>
      <c r="AT4" s="6">
        <f t="shared" si="8"/>
        <v>-0.88582038278113473</v>
      </c>
      <c r="AU4" s="6">
        <f t="shared" si="8"/>
        <v>-1.2009637703502005</v>
      </c>
      <c r="AV4" s="6">
        <f t="shared" si="8"/>
        <v>-1.0404037599735008</v>
      </c>
      <c r="AW4" s="6">
        <f t="shared" si="8"/>
        <v>-1.2062162584467222</v>
      </c>
      <c r="AX4" s="6">
        <f t="shared" si="8"/>
        <v>-1.1881862152619074</v>
      </c>
      <c r="AY4" s="6">
        <f t="shared" si="8"/>
        <v>0.3222130957270018</v>
      </c>
      <c r="AZ4" s="6">
        <f t="shared" si="8"/>
        <v>-0.47856398026926433</v>
      </c>
      <c r="BA4" s="6">
        <f t="shared" si="8"/>
        <v>0.2259491480268461</v>
      </c>
      <c r="BB4" s="6">
        <f t="shared" si="8"/>
        <v>-1.1441058352398426</v>
      </c>
      <c r="BC4" s="6">
        <f t="shared" si="8"/>
        <v>0.53982756572733592</v>
      </c>
      <c r="BD4" s="6">
        <f t="shared" si="8"/>
        <v>0.24198586501979799</v>
      </c>
      <c r="BE4" s="6">
        <f t="shared" si="8"/>
        <v>-0.25345378154069981</v>
      </c>
      <c r="BF4" s="6">
        <f t="shared" si="8"/>
        <v>0.16016446597819795</v>
      </c>
      <c r="BG4" s="6">
        <f t="shared" si="8"/>
        <v>0.50544660897851335</v>
      </c>
      <c r="BH4" s="6">
        <f t="shared" si="8"/>
        <v>-0.47259110719420838</v>
      </c>
      <c r="BI4" s="6">
        <f t="shared" si="9"/>
        <v>4.8354105223931193E-3</v>
      </c>
      <c r="BJ4" s="6">
        <f t="shared" si="9"/>
        <v>0.48606285460457299</v>
      </c>
      <c r="BK4" s="6">
        <f t="shared" si="15"/>
        <v>-0.44614244817577825</v>
      </c>
      <c r="BL4" s="6">
        <f t="shared" si="10"/>
        <v>-0.19245008972987526</v>
      </c>
      <c r="BM4" s="6">
        <f t="shared" si="10"/>
        <v>-0.34414965772374678</v>
      </c>
      <c r="BN4" s="6">
        <f t="shared" si="10"/>
        <v>0.89659869610789533</v>
      </c>
      <c r="BO4" s="6">
        <f t="shared" si="10"/>
        <v>0.53600432129912778</v>
      </c>
      <c r="BP4" s="6">
        <f t="shared" si="10"/>
        <v>-0.36769283680818904</v>
      </c>
      <c r="BQ4" s="6">
        <f t="shared" si="10"/>
        <v>0.11897183366961399</v>
      </c>
      <c r="BR4" s="6">
        <f t="shared" si="10"/>
        <v>0.24453345032698245</v>
      </c>
      <c r="BS4" s="6">
        <f t="shared" si="10"/>
        <v>-0.72739008743679756</v>
      </c>
      <c r="BT4" s="6">
        <v>0</v>
      </c>
      <c r="BU4" s="6">
        <f t="shared" si="11"/>
        <v>-0.19245008972987523</v>
      </c>
      <c r="BV4" s="6">
        <v>0</v>
      </c>
      <c r="BW4" s="6">
        <f t="shared" si="12"/>
        <v>0.79811635046856122</v>
      </c>
      <c r="BX4" s="6">
        <f t="shared" si="12"/>
        <v>0.77591721711512873</v>
      </c>
      <c r="BY4" s="6">
        <f t="shared" si="12"/>
        <v>0.21381587108741515</v>
      </c>
      <c r="BZ4" s="6">
        <f t="shared" si="12"/>
        <v>-0.20840918379893511</v>
      </c>
      <c r="CA4" s="6">
        <f t="shared" si="12"/>
        <v>-0.58406708338446367</v>
      </c>
      <c r="CB4" s="6">
        <f t="shared" si="12"/>
        <v>1.8476754565326172</v>
      </c>
      <c r="CC4" s="6">
        <f t="shared" si="12"/>
        <v>-0.28275841728929912</v>
      </c>
      <c r="CD4" s="6">
        <f t="shared" si="12"/>
        <v>-0.14198853282294599</v>
      </c>
      <c r="CE4" s="6">
        <f t="shared" si="12"/>
        <v>-0.50135484972438515</v>
      </c>
      <c r="CF4" s="6">
        <f t="shared" si="12"/>
        <v>-2.1851731853752243</v>
      </c>
      <c r="CG4" s="6">
        <f t="shared" si="12"/>
        <v>-0.84541175274122826</v>
      </c>
      <c r="CH4" s="6">
        <f t="shared" si="12"/>
        <v>-0.19245008972987523</v>
      </c>
      <c r="CK4" s="6">
        <f t="shared" si="16"/>
        <v>0</v>
      </c>
      <c r="CL4" s="6">
        <f t="shared" si="13"/>
        <v>0</v>
      </c>
      <c r="CM4" s="6">
        <f t="shared" si="13"/>
        <v>0</v>
      </c>
      <c r="CN4" s="6">
        <f t="shared" si="13"/>
        <v>3.2580965380214821</v>
      </c>
      <c r="CO4" s="6">
        <f t="shared" si="13"/>
        <v>2.4849066497880004</v>
      </c>
      <c r="CP4" s="6">
        <f t="shared" si="13"/>
        <v>0</v>
      </c>
      <c r="CQ4" s="6">
        <f t="shared" si="13"/>
        <v>3.6635616461296463</v>
      </c>
      <c r="CR4" s="6">
        <f t="shared" si="13"/>
        <v>4.4188406077965983</v>
      </c>
      <c r="CS4" s="6">
        <f t="shared" si="13"/>
        <v>0</v>
      </c>
    </row>
    <row r="5" spans="1:97" x14ac:dyDescent="0.2">
      <c r="A5" s="8">
        <v>4</v>
      </c>
      <c r="B5" s="1" t="s">
        <v>57</v>
      </c>
      <c r="C5" s="2">
        <f>VLOOKUP(B5, '[1]1. persentasi stunting'!B:C, 2, FALSE)</f>
        <v>7.71</v>
      </c>
      <c r="D5" s="2">
        <f>VLOOKUP(B5, '[1]1. persentasi stunting'!B:D, 3, FALSE)</f>
        <v>8.8800000000000008</v>
      </c>
      <c r="E5" s="2">
        <f>VLOOKUP(B5, '[1]1. persentasi stunting'!B:E, 4, FALSE)</f>
        <v>12.78</v>
      </c>
      <c r="F5" s="2">
        <f>VLOOKUP(B5, '[1]2.  WASTING DAN SEVERE W'!B:C, 2, FALSE)</f>
        <v>4.01</v>
      </c>
      <c r="G5" s="2">
        <f>VLOOKUP(B5, '[1]2.  WASTING DAN SEVERE W'!B:D, 3, FALSE)</f>
        <v>3.8</v>
      </c>
      <c r="H5" s="2">
        <f>VLOOKUP(B5, '[1]2.  WASTING DAN SEVERE W'!B:E, 4, FALSE)</f>
        <v>3.46</v>
      </c>
      <c r="I5" s="2">
        <f>VLOOKUP(B5, '[1]3. IMUNISASI DASAR LENGKAP'!B:C, 2, FALSE)</f>
        <v>96.8</v>
      </c>
      <c r="J5" s="2">
        <f>VLOOKUP(B5, '[1]3. IMUNISASI DASAR LENGKAP'!B:D, 3, FALSE)</f>
        <v>106.1</v>
      </c>
      <c r="K5" s="2">
        <f>VLOOKUP(B5, '[1]3. IMUNISASI DASAR LENGKAP'!B:E, 4, FALSE)</f>
        <v>97.2</v>
      </c>
      <c r="L5" s="2">
        <f>VLOOKUP(B5, '[1]4. GIZI BURUK'!B:C, 2, FALSE)</f>
        <v>129.13999999999999</v>
      </c>
      <c r="M5" s="2">
        <f>VLOOKUP(B5, '[1]4. GIZI BURUK'!B:D, 3, FALSE)</f>
        <v>50.42</v>
      </c>
      <c r="N5" s="2">
        <f>VLOOKUP(B5, '[1]4. GIZI BURUK'!B:E, 4, FALSE)</f>
        <v>54.28</v>
      </c>
      <c r="O5" s="2">
        <f>VLOOKUP(B5, '[1]5. KUNJUNGAN ANTENATAL K6'!B:C, 2, FALSE)</f>
        <v>74.400000000000006</v>
      </c>
      <c r="P5" s="2">
        <f>VLOOKUP(B5, '[1]5. KUNJUNGAN ANTENATAL K6'!B:D, 3, FALSE)</f>
        <v>98.2</v>
      </c>
      <c r="Q5" s="2">
        <f>VLOOKUP(B5, '[1]5. KUNJUNGAN ANTENATAL K6'!B:E, 4, FALSE)</f>
        <v>96.97</v>
      </c>
      <c r="R5" s="2">
        <f>VLOOKUP(B5, '[1]6. PF'!B:C, 2, FALSE)</f>
        <v>84.7</v>
      </c>
      <c r="S5" s="2">
        <f>VLOOKUP(B5, '[1]6. PF'!B:D, 3, FALSE)</f>
        <v>98.05</v>
      </c>
      <c r="T5" s="2">
        <f>VLOOKUP(B5, '[1]6. PF'!B:E, 4, FALSE)</f>
        <v>96.56</v>
      </c>
      <c r="U5" s="9">
        <f>IFERROR(VLOOKUP(B5, [1]HPAI!A:B, 2, FALSE), 0)</f>
        <v>0</v>
      </c>
      <c r="V5" s="9">
        <f>IFERROR(VLOOKUP(B5, [1]HPAI!A:C, 3, FALSE), 0)</f>
        <v>0</v>
      </c>
      <c r="W5" s="9">
        <f>IFERROR(VLOOKUP(B5, [1]HPAI!A:D, 4, FALSE), 0)</f>
        <v>0</v>
      </c>
      <c r="X5" s="9">
        <f>IFERROR(VLOOKUP(B5, [1]LSD!A:B, 2, FALSE), 0)</f>
        <v>64</v>
      </c>
      <c r="Y5" s="9">
        <f>IFERROR(VLOOKUP(B5, [1]LSD!A:C, 3, FALSE), 0)</f>
        <v>55</v>
      </c>
      <c r="Z5" s="9">
        <f>IFERROR(VLOOKUP(B5, [1]LSD!A:D, 4, FALSE), 0)</f>
        <v>0</v>
      </c>
      <c r="AA5" s="6">
        <f>IFERROR(VLOOKUP(B5, [1]PMK!A:B, 2, FALSE), 0)</f>
        <v>989</v>
      </c>
      <c r="AB5" s="6">
        <f>IFERROR(VLOOKUP(B5, [1]PMK!A:C, 3, FALSE), 0)</f>
        <v>930</v>
      </c>
      <c r="AC5" s="6">
        <f>IFERROR(VLOOKUP(B5, [1]PMK!A:D, 4, FALSE), 0)</f>
        <v>106</v>
      </c>
      <c r="AD5" s="6">
        <v>0</v>
      </c>
      <c r="AE5" s="6">
        <v>1</v>
      </c>
      <c r="AF5" s="6">
        <v>0</v>
      </c>
      <c r="AG5" s="6">
        <f>VLOOKUP(B5, [1]GHPR2024!B:S, 18, FALSE)</f>
        <v>78.512396694214885</v>
      </c>
      <c r="AH5" s="6">
        <f>VLOOKUP(B5, [1]GHPR2025!B:AE, 30, FALSE)</f>
        <v>67.493112947658403</v>
      </c>
      <c r="AI5" s="6">
        <f>VLOOKUP(B5, [1]Dengue2023!B:E, 4, FALSE)</f>
        <v>1005</v>
      </c>
      <c r="AJ5" s="6">
        <f>VLOOKUP(B5, [1]Dengue2024!B:E, 4, FALSE)</f>
        <v>3589</v>
      </c>
      <c r="AK5" s="6">
        <f>VLOOKUP(B5, [1]Food!D:G, 4, FALSE)</f>
        <v>82.48</v>
      </c>
      <c r="AL5" s="6">
        <f>VLOOKUP(B5, [1]IRBI!E:F, 2, FALSE)</f>
        <v>117.13</v>
      </c>
      <c r="AM5" s="10">
        <f t="shared" si="4"/>
        <v>0</v>
      </c>
      <c r="AN5" s="10">
        <f t="shared" si="5"/>
        <v>119</v>
      </c>
      <c r="AO5" s="6">
        <f t="shared" si="6"/>
        <v>2025</v>
      </c>
      <c r="AP5" s="6">
        <f>VLOOKUP(B5, [1]StuntingSSGI!A:B, 2, FALSE)</f>
        <v>24.1</v>
      </c>
      <c r="AQ5" s="6">
        <f>VLOOKUP(B5, [1]StuntingSSGI!A:L, 12, FALSE)</f>
        <v>2.2000000000000002</v>
      </c>
      <c r="AR5" s="6">
        <f t="shared" si="7"/>
        <v>1</v>
      </c>
      <c r="AS5" s="6">
        <f t="shared" si="14"/>
        <v>0.5793714672588669</v>
      </c>
      <c r="AT5" s="6">
        <f t="shared" si="8"/>
        <v>0.92987951176763195</v>
      </c>
      <c r="AU5" s="6">
        <f t="shared" si="8"/>
        <v>1.1405002861137838</v>
      </c>
      <c r="AV5" s="6">
        <f t="shared" si="8"/>
        <v>0.31883341031445955</v>
      </c>
      <c r="AW5" s="6">
        <f t="shared" si="8"/>
        <v>6.6219846686916856E-2</v>
      </c>
      <c r="AX5" s="6">
        <f t="shared" si="8"/>
        <v>-0.19884530822845228</v>
      </c>
      <c r="AY5" s="6">
        <f t="shared" si="8"/>
        <v>-0.1692233663054806</v>
      </c>
      <c r="AZ5" s="6">
        <f t="shared" si="8"/>
        <v>1.2458556755718213</v>
      </c>
      <c r="BA5" s="6">
        <f t="shared" si="8"/>
        <v>0.68183839370601329</v>
      </c>
      <c r="BB5" s="6">
        <f t="shared" si="8"/>
        <v>3.9567269183439149</v>
      </c>
      <c r="BC5" s="6">
        <f t="shared" si="8"/>
        <v>-3.564247679255379</v>
      </c>
      <c r="BD5" s="6">
        <f t="shared" si="8"/>
        <v>-4.5804981393048179</v>
      </c>
      <c r="BE5" s="6">
        <f t="shared" si="8"/>
        <v>-0.80127317550071842</v>
      </c>
      <c r="BF5" s="6">
        <f t="shared" si="8"/>
        <v>0.9625509019822549</v>
      </c>
      <c r="BG5" s="6">
        <f t="shared" si="8"/>
        <v>0.80281173479666046</v>
      </c>
      <c r="BH5" s="6">
        <f t="shared" si="8"/>
        <v>-1.6312707797702484</v>
      </c>
      <c r="BI5" s="6">
        <f t="shared" si="9"/>
        <v>0.85602672201981989</v>
      </c>
      <c r="BJ5" s="6">
        <f t="shared" si="9"/>
        <v>0.83539296426593579</v>
      </c>
      <c r="BK5" s="6">
        <f t="shared" si="15"/>
        <v>-0.44614244817577825</v>
      </c>
      <c r="BL5" s="6">
        <f t="shared" si="10"/>
        <v>-0.19245008972987526</v>
      </c>
      <c r="BM5" s="6">
        <f t="shared" si="10"/>
        <v>-0.34414965772374678</v>
      </c>
      <c r="BN5" s="6">
        <f t="shared" si="10"/>
        <v>1.3887255299826557</v>
      </c>
      <c r="BO5" s="6">
        <f t="shared" si="10"/>
        <v>1.3667680422303505</v>
      </c>
      <c r="BP5" s="6">
        <f t="shared" si="10"/>
        <v>-0.36769283680818904</v>
      </c>
      <c r="BQ5" s="6">
        <f t="shared" si="10"/>
        <v>1.429789031925623</v>
      </c>
      <c r="BR5" s="6">
        <f t="shared" si="10"/>
        <v>1.5234760366477678</v>
      </c>
      <c r="BS5" s="6">
        <f t="shared" si="10"/>
        <v>1.6031084603067036</v>
      </c>
      <c r="BT5" s="6">
        <v>0</v>
      </c>
      <c r="BU5" s="6">
        <f t="shared" si="11"/>
        <v>5.0037023329767569</v>
      </c>
      <c r="BV5" s="6">
        <v>0</v>
      </c>
      <c r="BW5" s="6">
        <f t="shared" si="12"/>
        <v>0.48613529520162896</v>
      </c>
      <c r="BX5" s="6">
        <f t="shared" si="12"/>
        <v>0.21069724608027196</v>
      </c>
      <c r="BY5" s="6">
        <f t="shared" si="12"/>
        <v>0.54640278415039278</v>
      </c>
      <c r="BZ5" s="6">
        <f t="shared" si="12"/>
        <v>0.79861300801233537</v>
      </c>
      <c r="CA5" s="6">
        <f t="shared" si="12"/>
        <v>5.3152336174621312E-2</v>
      </c>
      <c r="CB5" s="6">
        <f t="shared" si="12"/>
        <v>0.10780621905806002</v>
      </c>
      <c r="CC5" s="6">
        <f t="shared" si="12"/>
        <v>-0.28275841728929912</v>
      </c>
      <c r="CD5" s="6">
        <f t="shared" si="12"/>
        <v>1.0678833381132593</v>
      </c>
      <c r="CE5" s="6">
        <f t="shared" si="12"/>
        <v>3.7979426987207217</v>
      </c>
      <c r="CF5" s="6">
        <f t="shared" si="12"/>
        <v>1.2841884168750002</v>
      </c>
      <c r="CG5" s="6">
        <f t="shared" si="12"/>
        <v>-1.5513741442055522</v>
      </c>
      <c r="CH5" s="6">
        <f t="shared" si="12"/>
        <v>5.0037023329767569</v>
      </c>
      <c r="CK5" s="6">
        <f t="shared" si="16"/>
        <v>0</v>
      </c>
      <c r="CL5" s="6">
        <f t="shared" si="13"/>
        <v>0</v>
      </c>
      <c r="CM5" s="6">
        <f t="shared" si="13"/>
        <v>0</v>
      </c>
      <c r="CN5" s="6">
        <f t="shared" si="13"/>
        <v>4.1743872698956368</v>
      </c>
      <c r="CO5" s="6">
        <f t="shared" si="13"/>
        <v>4.0253516907351496</v>
      </c>
      <c r="CP5" s="6">
        <f t="shared" si="13"/>
        <v>0</v>
      </c>
      <c r="CQ5" s="6">
        <f t="shared" si="13"/>
        <v>6.8977049431286357</v>
      </c>
      <c r="CR5" s="6">
        <f t="shared" si="13"/>
        <v>6.8362592772770672</v>
      </c>
      <c r="CS5" s="6">
        <f t="shared" si="13"/>
        <v>4.6728288344619058</v>
      </c>
    </row>
    <row r="6" spans="1:97" x14ac:dyDescent="0.2">
      <c r="A6" s="8">
        <v>5</v>
      </c>
      <c r="B6" s="1" t="s">
        <v>58</v>
      </c>
      <c r="C6" s="2">
        <f>VLOOKUP(B6, '[1]1. persentasi stunting'!B:C, 2, FALSE)</f>
        <v>12.74</v>
      </c>
      <c r="D6" s="2">
        <f>VLOOKUP(B6, '[1]1. persentasi stunting'!B:D, 3, FALSE)</f>
        <v>11.97</v>
      </c>
      <c r="E6" s="2">
        <f>VLOOKUP(B6, '[1]1. persentasi stunting'!B:E, 4, FALSE)</f>
        <v>11.53</v>
      </c>
      <c r="F6" s="2">
        <f>VLOOKUP(B6, '[1]2.  WASTING DAN SEVERE W'!B:C, 2, FALSE)</f>
        <v>3.95</v>
      </c>
      <c r="G6" s="2">
        <f>VLOOKUP(B6, '[1]2.  WASTING DAN SEVERE W'!B:D, 3, FALSE)</f>
        <v>3.48</v>
      </c>
      <c r="H6" s="2">
        <f>VLOOKUP(B6, '[1]2.  WASTING DAN SEVERE W'!B:E, 4, FALSE)</f>
        <v>3.16</v>
      </c>
      <c r="I6" s="2">
        <f>VLOOKUP(B6, '[1]3. IMUNISASI DASAR LENGKAP'!B:C, 2, FALSE)</f>
        <v>96.3</v>
      </c>
      <c r="J6" s="2">
        <f>VLOOKUP(B6, '[1]3. IMUNISASI DASAR LENGKAP'!B:D, 3, FALSE)</f>
        <v>91.100000000000009</v>
      </c>
      <c r="K6" s="2">
        <f>VLOOKUP(B6, '[1]3. IMUNISASI DASAR LENGKAP'!B:E, 4, FALSE)</f>
        <v>88.2</v>
      </c>
      <c r="L6" s="2">
        <f>VLOOKUP(B6, '[1]4. GIZI BURUK'!B:C, 2, FALSE)</f>
        <v>100</v>
      </c>
      <c r="M6" s="2">
        <f>VLOOKUP(B6, '[1]4. GIZI BURUK'!B:D, 3, FALSE)</f>
        <v>100</v>
      </c>
      <c r="N6" s="2">
        <f>VLOOKUP(B6, '[1]4. GIZI BURUK'!B:E, 4, FALSE)</f>
        <v>100</v>
      </c>
      <c r="O6" s="2">
        <f>VLOOKUP(B6, '[1]5. KUNJUNGAN ANTENATAL K6'!B:C, 2, FALSE)</f>
        <v>75.5</v>
      </c>
      <c r="P6" s="2">
        <f>VLOOKUP(B6, '[1]5. KUNJUNGAN ANTENATAL K6'!B:D, 3, FALSE)</f>
        <v>80</v>
      </c>
      <c r="Q6" s="2">
        <f>VLOOKUP(B6, '[1]5. KUNJUNGAN ANTENATAL K6'!B:E, 4, FALSE)</f>
        <v>77.09</v>
      </c>
      <c r="R6" s="2">
        <f>VLOOKUP(B6, '[1]6. PF'!B:C, 2, FALSE)</f>
        <v>89.8</v>
      </c>
      <c r="S6" s="2">
        <f>VLOOKUP(B6, '[1]6. PF'!B:D, 3, FALSE)</f>
        <v>79.349999999999994</v>
      </c>
      <c r="T6" s="2">
        <f>VLOOKUP(B6, '[1]6. PF'!B:E, 4, FALSE)</f>
        <v>78.150000000000006</v>
      </c>
      <c r="U6" s="9">
        <f>IFERROR(VLOOKUP(B6, [1]HPAI!A:B, 2, FALSE), 0)</f>
        <v>0</v>
      </c>
      <c r="V6" s="9">
        <f>IFERROR(VLOOKUP(B6, [1]HPAI!A:C, 3, FALSE), 0)</f>
        <v>0</v>
      </c>
      <c r="W6" s="9">
        <f>IFERROR(VLOOKUP(B6, [1]HPAI!A:D, 4, FALSE), 0)</f>
        <v>0</v>
      </c>
      <c r="X6" s="9">
        <f>IFERROR(VLOOKUP(B6, [1]LSD!A:B, 2, FALSE), 0)</f>
        <v>0</v>
      </c>
      <c r="Y6" s="9">
        <f>IFERROR(VLOOKUP(B6, [1]LSD!A:C, 3, FALSE), 0)</f>
        <v>0</v>
      </c>
      <c r="Z6" s="9">
        <f>IFERROR(VLOOKUP(B6, [1]LSD!A:D, 4, FALSE), 0)</f>
        <v>0</v>
      </c>
      <c r="AA6" s="6">
        <f>IFERROR(VLOOKUP(B6, [1]PMK!A:B, 2, FALSE), 0)</f>
        <v>273</v>
      </c>
      <c r="AB6" s="6">
        <f>IFERROR(VLOOKUP(B6, [1]PMK!A:C, 3, FALSE), 0)</f>
        <v>743</v>
      </c>
      <c r="AC6" s="6">
        <f>IFERROR(VLOOKUP(B6, [1]PMK!A:D, 4, FALSE), 0)</f>
        <v>0</v>
      </c>
      <c r="AD6" s="6">
        <v>0</v>
      </c>
      <c r="AE6" s="6">
        <v>0</v>
      </c>
      <c r="AF6" s="6">
        <v>0</v>
      </c>
      <c r="AG6" s="6">
        <f>VLOOKUP(B6, [1]GHPR2024!B:S, 18, FALSE)</f>
        <v>58.603491271820452</v>
      </c>
      <c r="AH6" s="6">
        <f>VLOOKUP(B6, [1]GHPR2025!B:AE, 30, FALSE)</f>
        <v>75.035460992907801</v>
      </c>
      <c r="AI6" s="6">
        <f>VLOOKUP(B6, [1]Dengue2023!B:E, 4, FALSE)</f>
        <v>730</v>
      </c>
      <c r="AJ6" s="6">
        <f>VLOOKUP(B6, [1]Dengue2024!B:E, 4, FALSE)</f>
        <v>3269</v>
      </c>
      <c r="AK6" s="6">
        <f>VLOOKUP(B6, [1]Food!D:G, 4, FALSE)</f>
        <v>78.040000000000006</v>
      </c>
      <c r="AL6" s="6">
        <f>VLOOKUP(B6, [1]IRBI!E:F, 2, FALSE)</f>
        <v>134.75</v>
      </c>
      <c r="AM6" s="10">
        <f t="shared" si="4"/>
        <v>0</v>
      </c>
      <c r="AN6" s="10">
        <f t="shared" si="5"/>
        <v>0</v>
      </c>
      <c r="AO6" s="6">
        <f t="shared" si="6"/>
        <v>1016</v>
      </c>
      <c r="AP6" s="6">
        <f>VLOOKUP(B6, [1]StuntingSSGI!A:B, 2, FALSE)</f>
        <v>14.2</v>
      </c>
      <c r="AQ6" s="6">
        <f>VLOOKUP(B6, [1]StuntingSSGI!A:L, 12, FALSE)</f>
        <v>2.8</v>
      </c>
      <c r="AR6" s="6">
        <f t="shared" si="7"/>
        <v>0</v>
      </c>
      <c r="AS6" s="6">
        <f t="shared" si="14"/>
        <v>2.0265746853649307</v>
      </c>
      <c r="AT6" s="6">
        <f t="shared" si="8"/>
        <v>1.8092702130459528</v>
      </c>
      <c r="AU6" s="6">
        <f t="shared" si="8"/>
        <v>0.83907597400462008</v>
      </c>
      <c r="AV6" s="6">
        <f t="shared" si="8"/>
        <v>0.2794352314655334</v>
      </c>
      <c r="AW6" s="6">
        <f t="shared" si="8"/>
        <v>-0.14259018082219307</v>
      </c>
      <c r="AX6" s="6">
        <f t="shared" si="8"/>
        <v>-0.39671348963514319</v>
      </c>
      <c r="AY6" s="6">
        <f t="shared" si="8"/>
        <v>-0.23563369901257303</v>
      </c>
      <c r="AZ6" s="6">
        <f t="shared" si="8"/>
        <v>5.3860521764620535E-2</v>
      </c>
      <c r="BA6" s="6">
        <f t="shared" si="8"/>
        <v>-6.4162190132623947E-2</v>
      </c>
      <c r="BB6" s="6">
        <f t="shared" si="8"/>
        <v>0.23798119806794094</v>
      </c>
      <c r="BC6" s="6">
        <f t="shared" si="8"/>
        <v>0.53982756572733592</v>
      </c>
      <c r="BD6" s="6">
        <f t="shared" si="8"/>
        <v>0.35534176841225001</v>
      </c>
      <c r="BE6" s="6">
        <f t="shared" si="8"/>
        <v>-0.70248607167186294</v>
      </c>
      <c r="BF6" s="6">
        <f t="shared" si="8"/>
        <v>-0.57465258594130708</v>
      </c>
      <c r="BG6" s="6">
        <f t="shared" si="8"/>
        <v>-0.5687935323181329</v>
      </c>
      <c r="BH6" s="6">
        <f t="shared" si="8"/>
        <v>-0.89261248850302366</v>
      </c>
      <c r="BI6" s="6">
        <f t="shared" si="9"/>
        <v>-0.75015668110852407</v>
      </c>
      <c r="BJ6" s="6">
        <f t="shared" si="9"/>
        <v>-0.49336061401209802</v>
      </c>
      <c r="BK6" s="6">
        <f t="shared" si="15"/>
        <v>-0.44614244817577825</v>
      </c>
      <c r="BL6" s="6">
        <f t="shared" si="10"/>
        <v>-0.19245008972987526</v>
      </c>
      <c r="BM6" s="6">
        <f t="shared" si="10"/>
        <v>-0.34414965772374678</v>
      </c>
      <c r="BN6" s="6">
        <f t="shared" si="10"/>
        <v>-0.85327902058065852</v>
      </c>
      <c r="BO6" s="6">
        <f t="shared" si="10"/>
        <v>-0.80410859391096701</v>
      </c>
      <c r="BP6" s="6">
        <f t="shared" si="10"/>
        <v>-0.36769283680818904</v>
      </c>
      <c r="BQ6" s="6">
        <f t="shared" si="10"/>
        <v>0.90914252512324967</v>
      </c>
      <c r="BR6" s="6">
        <f t="shared" si="10"/>
        <v>1.404852704036033</v>
      </c>
      <c r="BS6" s="6">
        <f t="shared" si="10"/>
        <v>-0.72739008743679756</v>
      </c>
      <c r="BT6" s="6">
        <v>0</v>
      </c>
      <c r="BU6" s="6">
        <f t="shared" si="11"/>
        <v>-0.19245008972987523</v>
      </c>
      <c r="BV6" s="6">
        <v>0</v>
      </c>
      <c r="BW6" s="6">
        <f t="shared" si="12"/>
        <v>-0.14382338867726299</v>
      </c>
      <c r="BX6" s="6">
        <f t="shared" si="12"/>
        <v>0.45967622658004809</v>
      </c>
      <c r="BY6" s="6">
        <f t="shared" si="12"/>
        <v>2.6735732489490214E-2</v>
      </c>
      <c r="BZ6" s="6">
        <f t="shared" si="12"/>
        <v>0.60413678509163138</v>
      </c>
      <c r="CA6" s="6">
        <f t="shared" si="12"/>
        <v>-0.75752222624438392</v>
      </c>
      <c r="CB6" s="6">
        <f t="shared" si="12"/>
        <v>0.74595143063802904</v>
      </c>
      <c r="CC6" s="6">
        <f t="shared" si="12"/>
        <v>-0.28275841728929912</v>
      </c>
      <c r="CD6" s="6">
        <f t="shared" si="12"/>
        <v>-0.6667522358796133</v>
      </c>
      <c r="CE6" s="6">
        <f t="shared" si="12"/>
        <v>1.5207819499642321</v>
      </c>
      <c r="CF6" s="6">
        <f t="shared" si="12"/>
        <v>-0.74815950396980602</v>
      </c>
      <c r="CG6" s="6">
        <f t="shared" si="12"/>
        <v>-1.1983929484733904</v>
      </c>
      <c r="CH6" s="6">
        <f t="shared" si="12"/>
        <v>-0.19245008972987523</v>
      </c>
      <c r="CK6" s="6">
        <f t="shared" si="16"/>
        <v>0</v>
      </c>
      <c r="CL6" s="6">
        <f t="shared" si="13"/>
        <v>0</v>
      </c>
      <c r="CM6" s="6">
        <f t="shared" si="13"/>
        <v>0</v>
      </c>
      <c r="CN6" s="6">
        <f t="shared" si="13"/>
        <v>0</v>
      </c>
      <c r="CO6" s="6">
        <f t="shared" si="13"/>
        <v>0</v>
      </c>
      <c r="CP6" s="6">
        <f t="shared" si="13"/>
        <v>0</v>
      </c>
      <c r="CQ6" s="6">
        <f t="shared" si="13"/>
        <v>5.6131281063880705</v>
      </c>
      <c r="CR6" s="6">
        <f t="shared" si="13"/>
        <v>6.6120410348330916</v>
      </c>
      <c r="CS6" s="6">
        <f t="shared" si="13"/>
        <v>0</v>
      </c>
    </row>
    <row r="7" spans="1:97" x14ac:dyDescent="0.2">
      <c r="A7" s="8">
        <v>6</v>
      </c>
      <c r="B7" s="1" t="s">
        <v>59</v>
      </c>
      <c r="C7" s="2">
        <f>VLOOKUP(B7, '[1]1. persentasi stunting'!B:C, 2, FALSE)</f>
        <v>10.76</v>
      </c>
      <c r="D7" s="2">
        <f>VLOOKUP(B7, '[1]1. persentasi stunting'!B:D, 3, FALSE)</f>
        <v>9.08</v>
      </c>
      <c r="E7" s="2">
        <f>VLOOKUP(B7, '[1]1. persentasi stunting'!B:E, 4, FALSE)</f>
        <v>13.24</v>
      </c>
      <c r="F7" s="2">
        <f>VLOOKUP(B7, '[1]2.  WASTING DAN SEVERE W'!B:C, 2, FALSE)</f>
        <v>3.89</v>
      </c>
      <c r="G7" s="2">
        <f>VLOOKUP(B7, '[1]2.  WASTING DAN SEVERE W'!B:D, 3, FALSE)</f>
        <v>3.93</v>
      </c>
      <c r="H7" s="2">
        <f>VLOOKUP(B7, '[1]2.  WASTING DAN SEVERE W'!B:E, 4, FALSE)</f>
        <v>3.95</v>
      </c>
      <c r="I7" s="2">
        <f>VLOOKUP(B7, '[1]3. IMUNISASI DASAR LENGKAP'!B:C, 2, FALSE)</f>
        <v>95.399999999999991</v>
      </c>
      <c r="J7" s="2">
        <f>VLOOKUP(B7, '[1]3. IMUNISASI DASAR LENGKAP'!B:D, 3, FALSE)</f>
        <v>72.599999999999994</v>
      </c>
      <c r="K7" s="2">
        <f>VLOOKUP(B7, '[1]3. IMUNISASI DASAR LENGKAP'!B:E, 4, FALSE)</f>
        <v>76</v>
      </c>
      <c r="L7" s="2">
        <f>VLOOKUP(B7, '[1]4. GIZI BURUK'!B:C, 2, FALSE)</f>
        <v>87.27</v>
      </c>
      <c r="M7" s="2">
        <f>VLOOKUP(B7, '[1]4. GIZI BURUK'!B:D, 3, FALSE)</f>
        <v>89.6</v>
      </c>
      <c r="N7" s="2">
        <f>VLOOKUP(B7, '[1]4. GIZI BURUK'!B:E, 4, FALSE)</f>
        <v>98.8</v>
      </c>
      <c r="O7" s="2">
        <f>VLOOKUP(B7, '[1]5. KUNJUNGAN ANTENATAL K6'!B:C, 2, FALSE)</f>
        <v>82.6</v>
      </c>
      <c r="P7" s="2">
        <f>VLOOKUP(B7, '[1]5. KUNJUNGAN ANTENATAL K6'!B:D, 3, FALSE)</f>
        <v>99.1</v>
      </c>
      <c r="Q7" s="2">
        <f>VLOOKUP(B7, '[1]5. KUNJUNGAN ANTENATAL K6'!B:E, 4, FALSE)</f>
        <v>71.55</v>
      </c>
      <c r="R7" s="2">
        <f>VLOOKUP(B7, '[1]6. PF'!B:C, 2, FALSE)</f>
        <v>88</v>
      </c>
      <c r="S7" s="2">
        <f>VLOOKUP(B7, '[1]6. PF'!B:D, 3, FALSE)</f>
        <v>99.1</v>
      </c>
      <c r="T7" s="2">
        <f>VLOOKUP(B7, '[1]6. PF'!B:E, 4, FALSE)</f>
        <v>76.260000000000005</v>
      </c>
      <c r="U7" s="9">
        <f>IFERROR(VLOOKUP(B7, [1]HPAI!A:B, 2, FALSE), 0)</f>
        <v>0</v>
      </c>
      <c r="V7" s="9">
        <f>IFERROR(VLOOKUP(B7, [1]HPAI!A:C, 3, FALSE), 0)</f>
        <v>0</v>
      </c>
      <c r="W7" s="9">
        <f>IFERROR(VLOOKUP(B7, [1]HPAI!A:D, 4, FALSE), 0)</f>
        <v>0</v>
      </c>
      <c r="X7" s="9">
        <f>IFERROR(VLOOKUP(B7, [1]LSD!A:B, 2, FALSE), 0)</f>
        <v>1</v>
      </c>
      <c r="Y7" s="9">
        <f>IFERROR(VLOOKUP(B7, [1]LSD!A:C, 3, FALSE), 0)</f>
        <v>0</v>
      </c>
      <c r="Z7" s="9">
        <f>IFERROR(VLOOKUP(B7, [1]LSD!A:D, 4, FALSE), 0)</f>
        <v>41</v>
      </c>
      <c r="AA7" s="6">
        <f>IFERROR(VLOOKUP(B7, [1]PMK!A:B, 2, FALSE), 0)</f>
        <v>83</v>
      </c>
      <c r="AB7" s="6">
        <f>IFERROR(VLOOKUP(B7, [1]PMK!A:C, 3, FALSE), 0)</f>
        <v>448</v>
      </c>
      <c r="AC7" s="6">
        <f>IFERROR(VLOOKUP(B7, [1]PMK!A:D, 4, FALSE), 0)</f>
        <v>27</v>
      </c>
      <c r="AD7" s="6">
        <v>0</v>
      </c>
      <c r="AE7" s="6">
        <v>0</v>
      </c>
      <c r="AF7" s="6">
        <v>0</v>
      </c>
      <c r="AG7" s="6">
        <f>VLOOKUP(B7, [1]GHPR2024!B:S, 18, FALSE)</f>
        <v>13.297872340425531</v>
      </c>
      <c r="AH7" s="6">
        <f>VLOOKUP(B7, [1]GHPR2025!B:AE, 30, FALSE)</f>
        <v>20.679886685552407</v>
      </c>
      <c r="AI7" s="6">
        <f>VLOOKUP(B7, [1]Dengue2023!B:E, 4, FALSE)</f>
        <v>88</v>
      </c>
      <c r="AJ7" s="6">
        <f>VLOOKUP(B7, [1]Dengue2024!B:E, 4, FALSE)</f>
        <v>763</v>
      </c>
      <c r="AK7" s="6">
        <f>VLOOKUP(B7, [1]Food!D:G, 4, FALSE)</f>
        <v>75.680000000000007</v>
      </c>
      <c r="AL7" s="6">
        <f>VLOOKUP(B7, [1]IRBI!E:F, 2, FALSE)</f>
        <v>145.5</v>
      </c>
      <c r="AM7" s="10">
        <f t="shared" si="4"/>
        <v>0</v>
      </c>
      <c r="AN7" s="10">
        <f t="shared" si="5"/>
        <v>42</v>
      </c>
      <c r="AO7" s="6">
        <f t="shared" si="6"/>
        <v>558</v>
      </c>
      <c r="AP7" s="6">
        <f>VLOOKUP(B7, [1]StuntingSSGI!A:B, 2, FALSE)</f>
        <v>17</v>
      </c>
      <c r="AQ7" s="6">
        <f>VLOOKUP(B7, [1]StuntingSSGI!A:L, 12, FALSE)</f>
        <v>1.7000000000000002</v>
      </c>
      <c r="AR7" s="6">
        <f t="shared" si="7"/>
        <v>0</v>
      </c>
      <c r="AS7" s="6">
        <f t="shared" si="14"/>
        <v>1.4569002575617485</v>
      </c>
      <c r="AT7" s="6">
        <f t="shared" si="8"/>
        <v>0.98679800375975602</v>
      </c>
      <c r="AU7" s="6">
        <f t="shared" si="8"/>
        <v>1.2514244329699564</v>
      </c>
      <c r="AV7" s="6">
        <f t="shared" si="8"/>
        <v>0.24003705261660699</v>
      </c>
      <c r="AW7" s="6">
        <f t="shared" si="8"/>
        <v>0.15104892036249304</v>
      </c>
      <c r="AX7" s="6">
        <f t="shared" si="8"/>
        <v>0.12433938806914317</v>
      </c>
      <c r="AY7" s="6">
        <f t="shared" si="8"/>
        <v>-0.3551722978853401</v>
      </c>
      <c r="AZ7" s="6">
        <f t="shared" si="8"/>
        <v>-1.4162668345975964</v>
      </c>
      <c r="BA7" s="6">
        <f t="shared" si="8"/>
        <v>-1.0754074260027768</v>
      </c>
      <c r="BB7" s="6">
        <f t="shared" si="8"/>
        <v>-1.3865772445920861</v>
      </c>
      <c r="BC7" s="6">
        <f t="shared" si="8"/>
        <v>-0.32105146912180199</v>
      </c>
      <c r="BD7" s="6">
        <f t="shared" si="8"/>
        <v>0.22579216453516132</v>
      </c>
      <c r="BE7" s="6">
        <f t="shared" si="8"/>
        <v>-6.4860219685611759E-2</v>
      </c>
      <c r="BF7" s="6">
        <f t="shared" si="8"/>
        <v>1.0385664590773753</v>
      </c>
      <c r="BG7" s="6">
        <f t="shared" si="8"/>
        <v>-0.95102155947185341</v>
      </c>
      <c r="BH7" s="6">
        <f t="shared" si="8"/>
        <v>-1.1533154148326323</v>
      </c>
      <c r="BI7" s="6">
        <f t="shared" si="9"/>
        <v>0.94621349064467319</v>
      </c>
      <c r="BJ7" s="6">
        <f t="shared" si="9"/>
        <v>-0.62977257832201028</v>
      </c>
      <c r="BK7" s="6">
        <f t="shared" si="15"/>
        <v>-0.44614244817577825</v>
      </c>
      <c r="BL7" s="6">
        <f t="shared" si="10"/>
        <v>-0.19245008972987526</v>
      </c>
      <c r="BM7" s="6">
        <f t="shared" si="10"/>
        <v>-0.34414965772374678</v>
      </c>
      <c r="BN7" s="6">
        <f t="shared" si="10"/>
        <v>-0.4809994421541986</v>
      </c>
      <c r="BO7" s="6">
        <f t="shared" si="10"/>
        <v>-0.80410859391096701</v>
      </c>
      <c r="BP7" s="6">
        <f t="shared" si="10"/>
        <v>3.1115097614956473</v>
      </c>
      <c r="BQ7" s="6">
        <f t="shared" si="10"/>
        <v>0.42994483556499963</v>
      </c>
      <c r="BR7" s="6">
        <f t="shared" si="10"/>
        <v>1.1376713409839743</v>
      </c>
      <c r="BS7" s="6">
        <f t="shared" si="10"/>
        <v>0.93449354811945917</v>
      </c>
      <c r="BT7" s="6">
        <v>0</v>
      </c>
      <c r="BU7" s="6">
        <f t="shared" si="11"/>
        <v>-0.19245008972987523</v>
      </c>
      <c r="BV7" s="6">
        <v>0</v>
      </c>
      <c r="BW7" s="6">
        <f t="shared" si="12"/>
        <v>-1.5773862827094143</v>
      </c>
      <c r="BX7" s="6">
        <f t="shared" si="12"/>
        <v>-1.3346450370812435</v>
      </c>
      <c r="BY7" s="6">
        <f t="shared" si="12"/>
        <v>-1.1864506208425079</v>
      </c>
      <c r="BZ7" s="6">
        <f t="shared" si="12"/>
        <v>-0.91885513565613197</v>
      </c>
      <c r="CA7" s="6">
        <f t="shared" si="12"/>
        <v>-1.188421317980612</v>
      </c>
      <c r="CB7" s="6">
        <f t="shared" si="12"/>
        <v>1.1352852004725729</v>
      </c>
      <c r="CC7" s="6">
        <f t="shared" si="12"/>
        <v>-0.28275841728929912</v>
      </c>
      <c r="CD7" s="6">
        <f t="shared" si="12"/>
        <v>-5.4527915646834763E-2</v>
      </c>
      <c r="CE7" s="6">
        <f t="shared" si="12"/>
        <v>0.48714505905197014</v>
      </c>
      <c r="CF7" s="6">
        <f t="shared" si="12"/>
        <v>-0.17335403140763861</v>
      </c>
      <c r="CG7" s="6">
        <f t="shared" si="12"/>
        <v>-1.8455251406490207</v>
      </c>
      <c r="CH7" s="6">
        <f t="shared" si="12"/>
        <v>-0.19245008972987523</v>
      </c>
      <c r="CK7" s="6">
        <f t="shared" si="16"/>
        <v>0</v>
      </c>
      <c r="CL7" s="6">
        <f t="shared" si="13"/>
        <v>0</v>
      </c>
      <c r="CM7" s="6">
        <f t="shared" si="13"/>
        <v>0</v>
      </c>
      <c r="CN7" s="6">
        <f t="shared" si="13"/>
        <v>0.69314718055994529</v>
      </c>
      <c r="CO7" s="6">
        <f t="shared" si="13"/>
        <v>0</v>
      </c>
      <c r="CP7" s="6">
        <f t="shared" si="13"/>
        <v>3.7376696182833684</v>
      </c>
      <c r="CQ7" s="6">
        <f t="shared" si="13"/>
        <v>4.4308167988433134</v>
      </c>
      <c r="CR7" s="6">
        <f t="shared" si="13"/>
        <v>6.1070228877422545</v>
      </c>
      <c r="CS7" s="6">
        <f t="shared" si="13"/>
        <v>3.3322045101752038</v>
      </c>
    </row>
    <row r="8" spans="1:97" x14ac:dyDescent="0.2">
      <c r="A8" s="8">
        <v>7</v>
      </c>
      <c r="B8" s="1" t="s">
        <v>60</v>
      </c>
      <c r="C8" s="2">
        <f>VLOOKUP(B8, '[1]1. persentasi stunting'!B:C, 2, FALSE)</f>
        <v>3.97</v>
      </c>
      <c r="D8" s="2">
        <f>VLOOKUP(B8, '[1]1. persentasi stunting'!B:D, 3, FALSE)</f>
        <v>3.81</v>
      </c>
      <c r="E8" s="2">
        <f>VLOOKUP(B8, '[1]1. persentasi stunting'!B:E, 4, FALSE)</f>
        <v>7.51</v>
      </c>
      <c r="F8" s="2">
        <f>VLOOKUP(B8, '[1]2.  WASTING DAN SEVERE W'!B:C, 2, FALSE)</f>
        <v>3.98</v>
      </c>
      <c r="G8" s="2">
        <f>VLOOKUP(B8, '[1]2.  WASTING DAN SEVERE W'!B:D, 3, FALSE)</f>
        <v>3.67</v>
      </c>
      <c r="H8" s="2">
        <f>VLOOKUP(B8, '[1]2.  WASTING DAN SEVERE W'!B:E, 4, FALSE)</f>
        <v>4.08</v>
      </c>
      <c r="I8" s="2">
        <f>VLOOKUP(B8, '[1]3. IMUNISASI DASAR LENGKAP'!B:C, 2, FALSE)</f>
        <v>107</v>
      </c>
      <c r="J8" s="2">
        <f>VLOOKUP(B8, '[1]3. IMUNISASI DASAR LENGKAP'!B:D, 3, FALSE)</f>
        <v>86.5</v>
      </c>
      <c r="K8" s="2">
        <f>VLOOKUP(B8, '[1]3. IMUNISASI DASAR LENGKAP'!B:E, 4, FALSE)</f>
        <v>75</v>
      </c>
      <c r="L8" s="2">
        <f>VLOOKUP(B8, '[1]4. GIZI BURUK'!B:C, 2, FALSE)</f>
        <v>85.25</v>
      </c>
      <c r="M8" s="2">
        <f>VLOOKUP(B8, '[1]4. GIZI BURUK'!B:D, 3, FALSE)</f>
        <v>63.09</v>
      </c>
      <c r="N8" s="2">
        <f>VLOOKUP(B8, '[1]4. GIZI BURUK'!B:E, 4, FALSE)</f>
        <v>100</v>
      </c>
      <c r="O8" s="2">
        <f>VLOOKUP(B8, '[1]5. KUNJUNGAN ANTENATAL K6'!B:C, 2, FALSE)</f>
        <v>87.7</v>
      </c>
      <c r="P8" s="2">
        <f>VLOOKUP(B8, '[1]5. KUNJUNGAN ANTENATAL K6'!B:D, 3, FALSE)</f>
        <v>67.400000000000006</v>
      </c>
      <c r="Q8" s="2">
        <f>VLOOKUP(B8, '[1]5. KUNJUNGAN ANTENATAL K6'!B:E, 4, FALSE)</f>
        <v>64.19</v>
      </c>
      <c r="R8" s="2">
        <f>VLOOKUP(B8, '[1]6. PF'!B:C, 2, FALSE)</f>
        <v>98.3</v>
      </c>
      <c r="S8" s="2">
        <f>VLOOKUP(B8, '[1]6. PF'!B:D, 3, FALSE)</f>
        <v>70.03</v>
      </c>
      <c r="T8" s="2">
        <f>VLOOKUP(B8, '[1]6. PF'!B:E, 4, FALSE)</f>
        <v>64.709999999999994</v>
      </c>
      <c r="U8" s="9">
        <f>IFERROR(VLOOKUP(B8, [1]HPAI!A:B, 2, FALSE), 0)</f>
        <v>0</v>
      </c>
      <c r="V8" s="9">
        <f>IFERROR(VLOOKUP(B8, [1]HPAI!A:C, 3, FALSE), 0)</f>
        <v>0</v>
      </c>
      <c r="W8" s="9">
        <f>IFERROR(VLOOKUP(B8, [1]HPAI!A:D, 4, FALSE), 0)</f>
        <v>0</v>
      </c>
      <c r="X8" s="9">
        <f>IFERROR(VLOOKUP(B8, [1]LSD!A:B, 2, FALSE), 0)</f>
        <v>0</v>
      </c>
      <c r="Y8" s="9">
        <f>IFERROR(VLOOKUP(B8, [1]LSD!A:C, 3, FALSE), 0)</f>
        <v>0</v>
      </c>
      <c r="Z8" s="9">
        <f>IFERROR(VLOOKUP(B8, [1]LSD!A:D, 4, FALSE), 0)</f>
        <v>1</v>
      </c>
      <c r="AA8" s="6">
        <f>IFERROR(VLOOKUP(B8, [1]PMK!A:B, 2, FALSE), 0)</f>
        <v>0</v>
      </c>
      <c r="AB8" s="6">
        <f>IFERROR(VLOOKUP(B8, [1]PMK!A:C, 3, FALSE), 0)</f>
        <v>26</v>
      </c>
      <c r="AC8" s="6">
        <f>IFERROR(VLOOKUP(B8, [1]PMK!A:D, 4, FALSE), 0)</f>
        <v>0</v>
      </c>
      <c r="AD8" s="6">
        <v>0</v>
      </c>
      <c r="AE8" s="6">
        <v>0</v>
      </c>
      <c r="AF8" s="6">
        <v>0</v>
      </c>
      <c r="AG8" s="6">
        <f>VLOOKUP(B8, [1]GHPR2024!B:S, 18, FALSE)</f>
        <v>7.6433121019108281</v>
      </c>
      <c r="AH8" s="6">
        <f>VLOOKUP(B8, [1]GHPR2025!B:AE, 30, FALSE)</f>
        <v>13.765182186234817</v>
      </c>
      <c r="AI8" s="6">
        <f>VLOOKUP(B8, [1]Dengue2023!B:E, 4, FALSE)</f>
        <v>232</v>
      </c>
      <c r="AJ8" s="6">
        <f>VLOOKUP(B8, [1]Dengue2024!B:E, 4, FALSE)</f>
        <v>1420</v>
      </c>
      <c r="AK8" s="6">
        <f>VLOOKUP(B8, [1]Food!D:G, 4, FALSE)</f>
        <v>82.36</v>
      </c>
      <c r="AL8" s="6">
        <f>VLOOKUP(B8, [1]IRBI!E:F, 2, FALSE)</f>
        <v>105.56</v>
      </c>
      <c r="AM8" s="10">
        <f t="shared" si="4"/>
        <v>0</v>
      </c>
      <c r="AN8" s="10">
        <f t="shared" si="5"/>
        <v>1</v>
      </c>
      <c r="AO8" s="6">
        <f t="shared" si="6"/>
        <v>26</v>
      </c>
      <c r="AP8" s="6">
        <f>VLOOKUP(B8, [1]StuntingSSGI!A:B, 2, FALSE)</f>
        <v>20.3</v>
      </c>
      <c r="AQ8" s="6">
        <f>VLOOKUP(B8, [1]StuntingSSGI!A:L, 12, FALSE)</f>
        <v>4.5</v>
      </c>
      <c r="AR8" s="6">
        <f t="shared" si="7"/>
        <v>0</v>
      </c>
      <c r="AS8" s="6">
        <f t="shared" si="14"/>
        <v>-0.49668022970269921</v>
      </c>
      <c r="AT8" s="6">
        <f t="shared" si="8"/>
        <v>-0.51300426023272028</v>
      </c>
      <c r="AU8" s="6">
        <f t="shared" si="8"/>
        <v>-0.13030461373845076</v>
      </c>
      <c r="AV8" s="6">
        <f t="shared" si="8"/>
        <v>0.29913432088999647</v>
      </c>
      <c r="AW8" s="6">
        <f t="shared" si="8"/>
        <v>-1.8609226988659026E-2</v>
      </c>
      <c r="AX8" s="6">
        <f t="shared" si="8"/>
        <v>0.21008226667870919</v>
      </c>
      <c r="AY8" s="6">
        <f t="shared" si="8"/>
        <v>1.1855474209192052</v>
      </c>
      <c r="AZ8" s="6">
        <f t="shared" si="8"/>
        <v>-0.31168465873625539</v>
      </c>
      <c r="BA8" s="6">
        <f t="shared" si="8"/>
        <v>-1.1582963797626256</v>
      </c>
      <c r="BB8" s="6">
        <f t="shared" si="8"/>
        <v>-1.644362637692891</v>
      </c>
      <c r="BC8" s="6">
        <f t="shared" si="8"/>
        <v>-2.515465239684362</v>
      </c>
      <c r="BD8" s="6">
        <f t="shared" si="8"/>
        <v>0.35534176841225001</v>
      </c>
      <c r="BE8" s="6">
        <f t="shared" si="8"/>
        <v>0.39315271624817549</v>
      </c>
      <c r="BF8" s="6">
        <f t="shared" si="8"/>
        <v>-1.6388703852730031</v>
      </c>
      <c r="BG8" s="6">
        <f t="shared" si="8"/>
        <v>-1.4588190829107308</v>
      </c>
      <c r="BH8" s="6">
        <f t="shared" si="8"/>
        <v>0.33848466360901885</v>
      </c>
      <c r="BI8" s="6">
        <f t="shared" si="9"/>
        <v>-1.5506716178548423</v>
      </c>
      <c r="BJ8" s="6">
        <f t="shared" si="9"/>
        <v>-1.4634012491048083</v>
      </c>
      <c r="BK8" s="6">
        <f t="shared" si="15"/>
        <v>-0.44614244817577825</v>
      </c>
      <c r="BL8" s="6">
        <f t="shared" si="10"/>
        <v>-0.19245008972987526</v>
      </c>
      <c r="BM8" s="6">
        <f t="shared" si="10"/>
        <v>-0.34414965772374678</v>
      </c>
      <c r="BN8" s="6">
        <f t="shared" si="10"/>
        <v>-0.85327902058065852</v>
      </c>
      <c r="BO8" s="6">
        <f t="shared" si="10"/>
        <v>-0.80410859391096701</v>
      </c>
      <c r="BP8" s="6">
        <f t="shared" si="10"/>
        <v>0.27752188731147132</v>
      </c>
      <c r="BQ8" s="6">
        <f t="shared" si="10"/>
        <v>-1.3658911336187942</v>
      </c>
      <c r="BR8" s="6">
        <f t="shared" si="10"/>
        <v>-0.34959504222924997</v>
      </c>
      <c r="BS8" s="6">
        <f t="shared" si="10"/>
        <v>-0.72739008743679756</v>
      </c>
      <c r="BT8" s="6">
        <v>0</v>
      </c>
      <c r="BU8" s="6">
        <f t="shared" si="11"/>
        <v>-0.19245008972987523</v>
      </c>
      <c r="BV8" s="6">
        <v>0</v>
      </c>
      <c r="BW8" s="6">
        <f t="shared" si="12"/>
        <v>-1.7563081897752735</v>
      </c>
      <c r="BX8" s="6">
        <f t="shared" si="12"/>
        <v>-1.5629049988820889</v>
      </c>
      <c r="BY8" s="6">
        <f t="shared" si="12"/>
        <v>-0.91433405560916248</v>
      </c>
      <c r="BZ8" s="6">
        <f t="shared" si="12"/>
        <v>-0.51957114047206154</v>
      </c>
      <c r="CA8" s="6">
        <f t="shared" si="12"/>
        <v>3.1242212865998709E-2</v>
      </c>
      <c r="CB8" s="6">
        <f t="shared" si="12"/>
        <v>-0.31122556856851402</v>
      </c>
      <c r="CC8" s="6">
        <f t="shared" si="12"/>
        <v>-0.28275841728929912</v>
      </c>
      <c r="CD8" s="6">
        <f t="shared" si="12"/>
        <v>-0.65217546635026136</v>
      </c>
      <c r="CE8" s="6">
        <f t="shared" si="12"/>
        <v>-0.71349866576314636</v>
      </c>
      <c r="CF8" s="6">
        <f t="shared" si="12"/>
        <v>0.50409527554063016</v>
      </c>
      <c r="CG8" s="6">
        <f t="shared" si="12"/>
        <v>-0.19827956056559773</v>
      </c>
      <c r="CH8" s="6">
        <f t="shared" si="12"/>
        <v>-0.19245008972987523</v>
      </c>
      <c r="CK8" s="6">
        <f t="shared" si="16"/>
        <v>0</v>
      </c>
      <c r="CL8" s="6">
        <f t="shared" si="13"/>
        <v>0</v>
      </c>
      <c r="CM8" s="6">
        <f t="shared" si="13"/>
        <v>0</v>
      </c>
      <c r="CN8" s="6">
        <f t="shared" si="13"/>
        <v>0</v>
      </c>
      <c r="CO8" s="6">
        <f t="shared" si="13"/>
        <v>0</v>
      </c>
      <c r="CP8" s="6">
        <f t="shared" si="13"/>
        <v>0.69314718055994529</v>
      </c>
      <c r="CQ8" s="6">
        <f t="shared" si="13"/>
        <v>0</v>
      </c>
      <c r="CR8" s="6">
        <f t="shared" si="13"/>
        <v>3.2958368660043291</v>
      </c>
      <c r="CS8" s="6">
        <f t="shared" si="13"/>
        <v>0</v>
      </c>
    </row>
    <row r="9" spans="1:97" x14ac:dyDescent="0.2">
      <c r="A9" s="8">
        <v>8</v>
      </c>
      <c r="B9" s="1" t="s">
        <v>61</v>
      </c>
      <c r="C9" s="2">
        <f>VLOOKUP(B9, '[1]1. persentasi stunting'!B:C, 2, FALSE)</f>
        <v>7.84</v>
      </c>
      <c r="D9" s="2">
        <f>VLOOKUP(B9, '[1]1. persentasi stunting'!B:D, 3, FALSE)</f>
        <v>7.82</v>
      </c>
      <c r="E9" s="2">
        <f>VLOOKUP(B9, '[1]1. persentasi stunting'!B:E, 4, FALSE)</f>
        <v>9.84</v>
      </c>
      <c r="F9" s="2">
        <f>VLOOKUP(B9, '[1]2.  WASTING DAN SEVERE W'!B:C, 2, FALSE)</f>
        <v>3.63</v>
      </c>
      <c r="G9" s="2">
        <f>VLOOKUP(B9, '[1]2.  WASTING DAN SEVERE W'!B:D, 3, FALSE)</f>
        <v>4.5599999999999996</v>
      </c>
      <c r="H9" s="2">
        <f>VLOOKUP(B9, '[1]2.  WASTING DAN SEVERE W'!B:E, 4, FALSE)</f>
        <v>4.9800000000000004</v>
      </c>
      <c r="I9" s="2">
        <f>VLOOKUP(B9, '[1]3. IMUNISASI DASAR LENGKAP'!B:C, 2, FALSE)</f>
        <v>98.4</v>
      </c>
      <c r="J9" s="2">
        <f>VLOOKUP(B9, '[1]3. IMUNISASI DASAR LENGKAP'!B:D, 3, FALSE)</f>
        <v>80.800000000000011</v>
      </c>
      <c r="K9" s="2">
        <f>VLOOKUP(B9, '[1]3. IMUNISASI DASAR LENGKAP'!B:E, 4, FALSE)</f>
        <v>72.5</v>
      </c>
      <c r="L9" s="2">
        <f>VLOOKUP(B9, '[1]4. GIZI BURUK'!B:C, 2, FALSE)</f>
        <v>100</v>
      </c>
      <c r="M9" s="2">
        <f>VLOOKUP(B9, '[1]4. GIZI BURUK'!B:D, 3, FALSE)</f>
        <v>100</v>
      </c>
      <c r="N9" s="2">
        <f>VLOOKUP(B9, '[1]4. GIZI BURUK'!B:E, 4, FALSE)</f>
        <v>100</v>
      </c>
      <c r="O9" s="2">
        <f>VLOOKUP(B9, '[1]5. KUNJUNGAN ANTENATAL K6'!B:C, 2, FALSE)</f>
        <v>77.400000000000006</v>
      </c>
      <c r="P9" s="2">
        <f>VLOOKUP(B9, '[1]5. KUNJUNGAN ANTENATAL K6'!B:D, 3, FALSE)</f>
        <v>67.400000000000006</v>
      </c>
      <c r="Q9" s="2">
        <f>VLOOKUP(B9, '[1]5. KUNJUNGAN ANTENATAL K6'!B:E, 4, FALSE)</f>
        <v>60.86</v>
      </c>
      <c r="R9" s="2">
        <f>VLOOKUP(B9, '[1]6. PF'!B:C, 2, FALSE)</f>
        <v>93.7</v>
      </c>
      <c r="S9" s="2">
        <f>VLOOKUP(B9, '[1]6. PF'!B:D, 3, FALSE)</f>
        <v>71.19</v>
      </c>
      <c r="T9" s="2">
        <f>VLOOKUP(B9, '[1]6. PF'!B:E, 4, FALSE)</f>
        <v>65.62</v>
      </c>
      <c r="U9" s="9">
        <f>IFERROR(VLOOKUP(B9, [1]HPAI!A:B, 2, FALSE), 0)</f>
        <v>0</v>
      </c>
      <c r="V9" s="9">
        <f>IFERROR(VLOOKUP(B9, [1]HPAI!A:C, 3, FALSE), 0)</f>
        <v>0</v>
      </c>
      <c r="W9" s="9">
        <f>IFERROR(VLOOKUP(B9, [1]HPAI!A:D, 4, FALSE), 0)</f>
        <v>0</v>
      </c>
      <c r="X9" s="9">
        <f>IFERROR(VLOOKUP(B9, [1]LSD!A:B, 2, FALSE), 0)</f>
        <v>66</v>
      </c>
      <c r="Y9" s="9">
        <f>IFERROR(VLOOKUP(B9, [1]LSD!A:C, 3, FALSE), 0)</f>
        <v>63</v>
      </c>
      <c r="Z9" s="9">
        <f>IFERROR(VLOOKUP(B9, [1]LSD!A:D, 4, FALSE), 0)</f>
        <v>0</v>
      </c>
      <c r="AA9" s="6">
        <f>IFERROR(VLOOKUP(B9, [1]PMK!A:B, 2, FALSE), 0)</f>
        <v>219</v>
      </c>
      <c r="AB9" s="6">
        <f>IFERROR(VLOOKUP(B9, [1]PMK!A:C, 3, FALSE), 0)</f>
        <v>214</v>
      </c>
      <c r="AC9" s="6">
        <f>IFERROR(VLOOKUP(B9, [1]PMK!A:D, 4, FALSE), 0)</f>
        <v>0</v>
      </c>
      <c r="AD9" s="6">
        <v>0</v>
      </c>
      <c r="AE9" s="6">
        <v>0</v>
      </c>
      <c r="AF9" s="6">
        <v>0</v>
      </c>
      <c r="AG9" s="6">
        <f>VLOOKUP(B9, [1]GHPR2024!B:S, 18, FALSE)</f>
        <v>12.820512820512819</v>
      </c>
      <c r="AH9" s="6">
        <f>VLOOKUP(B9, [1]GHPR2025!B:AE, 30, FALSE)</f>
        <v>17.993079584775089</v>
      </c>
      <c r="AI9" s="6">
        <f>VLOOKUP(B9, [1]Dengue2023!B:E, 4, FALSE)</f>
        <v>630</v>
      </c>
      <c r="AJ9" s="6">
        <f>VLOOKUP(B9, [1]Dengue2024!B:E, 4, FALSE)</f>
        <v>2165</v>
      </c>
      <c r="AK9" s="6">
        <f>VLOOKUP(B9, [1]Food!D:G, 4, FALSE)</f>
        <v>80.95</v>
      </c>
      <c r="AL9" s="6">
        <f>VLOOKUP(B9, [1]IRBI!E:F, 2, FALSE)</f>
        <v>141.55000000000001</v>
      </c>
      <c r="AM9" s="10">
        <f t="shared" si="4"/>
        <v>0</v>
      </c>
      <c r="AN9" s="10">
        <f t="shared" si="5"/>
        <v>129</v>
      </c>
      <c r="AO9" s="6">
        <f t="shared" si="6"/>
        <v>433</v>
      </c>
      <c r="AP9" s="6">
        <f>VLOOKUP(B9, [1]StuntingSSGI!A:B, 2, FALSE)</f>
        <v>22.7</v>
      </c>
      <c r="AQ9" s="6">
        <f>VLOOKUP(B9, [1]StuntingSSGI!A:L, 12, FALSE)</f>
        <v>5.5</v>
      </c>
      <c r="AR9" s="6">
        <f t="shared" si="7"/>
        <v>0</v>
      </c>
      <c r="AS9" s="6">
        <f t="shared" si="14"/>
        <v>0.61677433373079305</v>
      </c>
      <c r="AT9" s="6">
        <f t="shared" si="8"/>
        <v>0.62821150420937277</v>
      </c>
      <c r="AU9" s="6">
        <f t="shared" si="8"/>
        <v>0.43155030403303068</v>
      </c>
      <c r="AV9" s="6">
        <f t="shared" si="8"/>
        <v>6.9311610937925802E-2</v>
      </c>
      <c r="AW9" s="6">
        <f t="shared" si="8"/>
        <v>0.56214366202105304</v>
      </c>
      <c r="AX9" s="6">
        <f t="shared" si="8"/>
        <v>0.80368681089878247</v>
      </c>
      <c r="AY9" s="6">
        <f t="shared" si="8"/>
        <v>4.3289698357216272E-2</v>
      </c>
      <c r="AZ9" s="6">
        <f t="shared" si="8"/>
        <v>-0.76464281718299121</v>
      </c>
      <c r="BA9" s="6">
        <f t="shared" si="8"/>
        <v>-1.3655187641622468</v>
      </c>
      <c r="BB9" s="6">
        <f t="shared" si="8"/>
        <v>0.23798119806794094</v>
      </c>
      <c r="BC9" s="6">
        <f t="shared" si="8"/>
        <v>0.53982756572733592</v>
      </c>
      <c r="BD9" s="6">
        <f t="shared" si="8"/>
        <v>0.35534176841225001</v>
      </c>
      <c r="BE9" s="6">
        <f t="shared" si="8"/>
        <v>-0.53185380142202043</v>
      </c>
      <c r="BF9" s="6">
        <f t="shared" si="8"/>
        <v>-1.6388703852730031</v>
      </c>
      <c r="BG9" s="6">
        <f t="shared" si="8"/>
        <v>-1.6885698645753313</v>
      </c>
      <c r="BH9" s="6">
        <f t="shared" si="8"/>
        <v>-0.32775614812220333</v>
      </c>
      <c r="BI9" s="6">
        <f t="shared" si="9"/>
        <v>-1.4510367115645282</v>
      </c>
      <c r="BJ9" s="6">
        <f t="shared" si="9"/>
        <v>-1.397721414437072</v>
      </c>
      <c r="BK9" s="6">
        <f t="shared" si="15"/>
        <v>-0.44614244817577825</v>
      </c>
      <c r="BL9" s="6">
        <f t="shared" si="10"/>
        <v>-0.19245008972987526</v>
      </c>
      <c r="BM9" s="6">
        <f t="shared" si="10"/>
        <v>-0.34414965772374678</v>
      </c>
      <c r="BN9" s="6">
        <f t="shared" si="10"/>
        <v>1.4050021059402664</v>
      </c>
      <c r="BO9" s="6">
        <f t="shared" si="10"/>
        <v>1.4387816705319925</v>
      </c>
      <c r="BP9" s="6">
        <f t="shared" si="10"/>
        <v>-0.36769283680818904</v>
      </c>
      <c r="BQ9" s="6">
        <f t="shared" si="10"/>
        <v>0.8201776640459385</v>
      </c>
      <c r="BR9" s="6">
        <f t="shared" si="10"/>
        <v>0.74808472581757568</v>
      </c>
      <c r="BS9" s="6">
        <f t="shared" si="10"/>
        <v>-0.72739008743679756</v>
      </c>
      <c r="BT9" s="6">
        <v>0</v>
      </c>
      <c r="BU9" s="6">
        <f t="shared" si="11"/>
        <v>-0.19245008972987523</v>
      </c>
      <c r="BV9" s="6">
        <v>0</v>
      </c>
      <c r="BW9" s="6">
        <f t="shared" si="12"/>
        <v>-1.5924909189775145</v>
      </c>
      <c r="BX9" s="6">
        <f t="shared" si="12"/>
        <v>-1.4233387023347908</v>
      </c>
      <c r="BY9" s="6">
        <f t="shared" si="12"/>
        <v>-0.16223410447811074</v>
      </c>
      <c r="BZ9" s="6">
        <f t="shared" si="12"/>
        <v>-6.6806183984797499E-2</v>
      </c>
      <c r="CA9" s="6">
        <f t="shared" si="12"/>
        <v>-0.22620173601030652</v>
      </c>
      <c r="CB9" s="6">
        <f t="shared" si="12"/>
        <v>0.99222767574267112</v>
      </c>
      <c r="CC9" s="6">
        <f t="shared" si="12"/>
        <v>-0.28275841728929912</v>
      </c>
      <c r="CD9" s="6">
        <f t="shared" si="12"/>
        <v>1.213651033406778</v>
      </c>
      <c r="CE9" s="6">
        <f t="shared" si="12"/>
        <v>0.20503892070255364</v>
      </c>
      <c r="CF9" s="6">
        <f t="shared" si="12"/>
        <v>0.99678568059391615</v>
      </c>
      <c r="CG9" s="6">
        <f t="shared" si="12"/>
        <v>0.39002243232133904</v>
      </c>
      <c r="CH9" s="6">
        <f t="shared" si="12"/>
        <v>-0.19245008972987523</v>
      </c>
      <c r="CK9" s="6">
        <f t="shared" si="16"/>
        <v>0</v>
      </c>
      <c r="CL9" s="6">
        <f t="shared" si="13"/>
        <v>0</v>
      </c>
      <c r="CM9" s="6">
        <f t="shared" si="13"/>
        <v>0</v>
      </c>
      <c r="CN9" s="6">
        <f t="shared" si="13"/>
        <v>4.2046926193909657</v>
      </c>
      <c r="CO9" s="6">
        <f t="shared" si="13"/>
        <v>4.1588830833596715</v>
      </c>
      <c r="CP9" s="6">
        <f t="shared" si="13"/>
        <v>0</v>
      </c>
      <c r="CQ9" s="6">
        <f t="shared" si="13"/>
        <v>5.393627546352362</v>
      </c>
      <c r="CR9" s="6">
        <f t="shared" si="13"/>
        <v>5.3706380281276624</v>
      </c>
      <c r="CS9" s="6">
        <f t="shared" si="13"/>
        <v>0</v>
      </c>
    </row>
    <row r="10" spans="1:97" x14ac:dyDescent="0.2">
      <c r="A10" s="8">
        <v>9</v>
      </c>
      <c r="B10" s="1" t="s">
        <v>62</v>
      </c>
      <c r="C10" s="2">
        <f>VLOOKUP(B10, '[1]1. persentasi stunting'!B:C, 2, FALSE)</f>
        <v>8.98</v>
      </c>
      <c r="D10" s="2">
        <f>VLOOKUP(B10, '[1]1. persentasi stunting'!B:D, 3, FALSE)</f>
        <v>5.56</v>
      </c>
      <c r="E10" s="2">
        <f>VLOOKUP(B10, '[1]1. persentasi stunting'!B:E, 4, FALSE)</f>
        <v>8.69</v>
      </c>
      <c r="F10" s="2">
        <f>VLOOKUP(B10, '[1]2.  WASTING DAN SEVERE W'!B:C, 2, FALSE)</f>
        <v>6.15</v>
      </c>
      <c r="G10" s="2">
        <f>VLOOKUP(B10, '[1]2.  WASTING DAN SEVERE W'!B:D, 3, FALSE)</f>
        <v>6.57</v>
      </c>
      <c r="H10" s="2">
        <f>VLOOKUP(B10, '[1]2.  WASTING DAN SEVERE W'!B:E, 4, FALSE)</f>
        <v>6.78</v>
      </c>
      <c r="I10" s="2">
        <f>VLOOKUP(B10, '[1]3. IMUNISASI DASAR LENGKAP'!B:C, 2, FALSE)</f>
        <v>123.8</v>
      </c>
      <c r="J10" s="2">
        <f>VLOOKUP(B10, '[1]3. IMUNISASI DASAR LENGKAP'!B:D, 3, FALSE)</f>
        <v>102.60000000000001</v>
      </c>
      <c r="K10" s="2">
        <f>VLOOKUP(B10, '[1]3. IMUNISASI DASAR LENGKAP'!B:E, 4, FALSE)</f>
        <v>96.899999999999991</v>
      </c>
      <c r="L10" s="2">
        <f>VLOOKUP(B10, '[1]4. GIZI BURUK'!B:C, 2, FALSE)</f>
        <v>91.76</v>
      </c>
      <c r="M10" s="2">
        <f>VLOOKUP(B10, '[1]4. GIZI BURUK'!B:D, 3, FALSE)</f>
        <v>84.6</v>
      </c>
      <c r="N10" s="2">
        <f>VLOOKUP(B10, '[1]4. GIZI BURUK'!B:E, 4, FALSE)</f>
        <v>81.42</v>
      </c>
      <c r="O10" s="2">
        <f>VLOOKUP(B10, '[1]5. KUNJUNGAN ANTENATAL K6'!B:C, 2, FALSE)</f>
        <v>110.4</v>
      </c>
      <c r="P10" s="2">
        <f>VLOOKUP(B10, '[1]5. KUNJUNGAN ANTENATAL K6'!B:D, 3, FALSE)</f>
        <v>96</v>
      </c>
      <c r="Q10" s="2">
        <f>VLOOKUP(B10, '[1]5. KUNJUNGAN ANTENATAL K6'!B:E, 4, FALSE)</f>
        <v>90.91</v>
      </c>
      <c r="R10" s="2">
        <f>VLOOKUP(B10, '[1]6. PF'!B:C, 2, FALSE)</f>
        <v>121.4</v>
      </c>
      <c r="S10" s="2">
        <f>VLOOKUP(B10, '[1]6. PF'!B:D, 3, FALSE)</f>
        <v>92.7</v>
      </c>
      <c r="T10" s="2">
        <f>VLOOKUP(B10, '[1]6. PF'!B:E, 4, FALSE)</f>
        <v>88.78</v>
      </c>
      <c r="U10" s="9">
        <f>IFERROR(VLOOKUP(B10, [1]HPAI!A:B, 2, FALSE), 0)</f>
        <v>0</v>
      </c>
      <c r="V10" s="9">
        <f>IFERROR(VLOOKUP(B10, [1]HPAI!A:C, 3, FALSE), 0)</f>
        <v>0</v>
      </c>
      <c r="W10" s="9">
        <f>IFERROR(VLOOKUP(B10, [1]HPAI!A:D, 4, FALSE), 0)</f>
        <v>0</v>
      </c>
      <c r="X10" s="9">
        <f>IFERROR(VLOOKUP(B10, [1]LSD!A:B, 2, FALSE), 0)</f>
        <v>0</v>
      </c>
      <c r="Y10" s="9">
        <f>IFERROR(VLOOKUP(B10, [1]LSD!A:C, 3, FALSE), 0)</f>
        <v>19</v>
      </c>
      <c r="Z10" s="9">
        <f>IFERROR(VLOOKUP(B10, [1]LSD!A:D, 4, FALSE), 0)</f>
        <v>0</v>
      </c>
      <c r="AA10" s="6">
        <f>IFERROR(VLOOKUP(B10, [1]PMK!A:B, 2, FALSE), 0)</f>
        <v>21</v>
      </c>
      <c r="AB10" s="6">
        <f>IFERROR(VLOOKUP(B10, [1]PMK!A:C, 3, FALSE), 0)</f>
        <v>249</v>
      </c>
      <c r="AC10" s="6">
        <f>IFERROR(VLOOKUP(B10, [1]PMK!A:D, 4, FALSE), 0)</f>
        <v>119</v>
      </c>
      <c r="AD10" s="6">
        <v>0</v>
      </c>
      <c r="AE10" s="6">
        <v>0</v>
      </c>
      <c r="AF10" s="6">
        <v>0</v>
      </c>
      <c r="AG10" s="6">
        <f>VLOOKUP(B10, [1]GHPR2024!B:S, 18, FALSE)</f>
        <v>100</v>
      </c>
      <c r="AH10" s="6">
        <f>VLOOKUP(B10, [1]GHPR2025!B:AE, 30, FALSE)</f>
        <v>100</v>
      </c>
      <c r="AI10" s="6">
        <f>VLOOKUP(B10, [1]Dengue2023!B:E, 4, FALSE)</f>
        <v>728</v>
      </c>
      <c r="AJ10" s="6">
        <f>VLOOKUP(B10, [1]Dengue2024!B:E, 4, FALSE)</f>
        <v>1833</v>
      </c>
      <c r="AK10" s="6">
        <f>VLOOKUP(B10, [1]Food!D:G, 4, FALSE)</f>
        <v>82.03</v>
      </c>
      <c r="AL10" s="6">
        <f>VLOOKUP(B10, [1]IRBI!E:F, 2, FALSE)</f>
        <v>133.04</v>
      </c>
      <c r="AM10" s="10">
        <f t="shared" si="4"/>
        <v>0</v>
      </c>
      <c r="AN10" s="10">
        <f t="shared" si="5"/>
        <v>19</v>
      </c>
      <c r="AO10" s="6">
        <f t="shared" si="6"/>
        <v>389</v>
      </c>
      <c r="AP10" s="6">
        <f>VLOOKUP(B10, [1]StuntingSSGI!A:B, 2, FALSE)</f>
        <v>18</v>
      </c>
      <c r="AQ10" s="6">
        <f>VLOOKUP(B10, [1]StuntingSSGI!A:L, 12, FALSE)</f>
        <v>7.6</v>
      </c>
      <c r="AR10" s="6">
        <f t="shared" si="7"/>
        <v>0</v>
      </c>
      <c r="AS10" s="6">
        <f t="shared" si="14"/>
        <v>0.94476870125383738</v>
      </c>
      <c r="AT10" s="6">
        <f t="shared" si="8"/>
        <v>-1.4967455301632425E-2</v>
      </c>
      <c r="AU10" s="6">
        <f t="shared" si="8"/>
        <v>0.15423993689259985</v>
      </c>
      <c r="AV10" s="6">
        <f t="shared" si="8"/>
        <v>1.7240351225928345</v>
      </c>
      <c r="AW10" s="6">
        <f t="shared" si="8"/>
        <v>1.8737316473126508</v>
      </c>
      <c r="AX10" s="6">
        <f t="shared" si="8"/>
        <v>1.9908958993389283</v>
      </c>
      <c r="AY10" s="6">
        <f t="shared" si="8"/>
        <v>3.4169345998775102</v>
      </c>
      <c r="AZ10" s="6">
        <f t="shared" si="8"/>
        <v>0.96772347301680872</v>
      </c>
      <c r="BA10" s="6">
        <f t="shared" si="8"/>
        <v>0.65697170757805778</v>
      </c>
      <c r="BB10" s="6">
        <f t="shared" si="8"/>
        <v>-0.81357901933336385</v>
      </c>
      <c r="BC10" s="6">
        <f t="shared" si="8"/>
        <v>-0.73493562049157968</v>
      </c>
      <c r="BD10" s="6">
        <f t="shared" si="8"/>
        <v>-1.6505179316180016</v>
      </c>
      <c r="BE10" s="6">
        <f t="shared" si="8"/>
        <v>2.4317593134436568</v>
      </c>
      <c r="BF10" s="6">
        <f t="shared" si="8"/>
        <v>0.7767350957497362</v>
      </c>
      <c r="BG10" s="6">
        <f t="shared" si="8"/>
        <v>0.38470670870432377</v>
      </c>
      <c r="BH10" s="6">
        <f t="shared" si="8"/>
        <v>3.6841722181723355</v>
      </c>
      <c r="BI10" s="6">
        <f t="shared" si="9"/>
        <v>0.39650366283604288</v>
      </c>
      <c r="BJ10" s="6">
        <f t="shared" si="9"/>
        <v>0.27386646567804301</v>
      </c>
      <c r="BK10" s="6">
        <f t="shared" si="15"/>
        <v>-0.44614244817577825</v>
      </c>
      <c r="BL10" s="6">
        <f t="shared" si="10"/>
        <v>-0.19245008972987526</v>
      </c>
      <c r="BM10" s="6">
        <f t="shared" si="10"/>
        <v>-0.34414965772374678</v>
      </c>
      <c r="BN10" s="6">
        <f t="shared" si="10"/>
        <v>-0.85327902058065852</v>
      </c>
      <c r="BO10" s="6">
        <f t="shared" si="10"/>
        <v>0.81149314736326184</v>
      </c>
      <c r="BP10" s="6">
        <f t="shared" si="10"/>
        <v>-0.36769283680818904</v>
      </c>
      <c r="BQ10" s="6">
        <f t="shared" si="10"/>
        <v>-0.1130735444410831</v>
      </c>
      <c r="BR10" s="6">
        <f t="shared" si="10"/>
        <v>0.8278780272877666</v>
      </c>
      <c r="BS10" s="6">
        <f t="shared" si="10"/>
        <v>1.6602947495517504</v>
      </c>
      <c r="BT10" s="6">
        <v>0</v>
      </c>
      <c r="BU10" s="6">
        <f t="shared" si="11"/>
        <v>-0.19245008972987523</v>
      </c>
      <c r="BV10" s="6">
        <v>0</v>
      </c>
      <c r="BW10" s="6">
        <f t="shared" si="12"/>
        <v>1.1660472246137741</v>
      </c>
      <c r="BX10" s="6">
        <f t="shared" si="12"/>
        <v>1.2837757554459532</v>
      </c>
      <c r="BY10" s="6">
        <f t="shared" si="12"/>
        <v>2.2956335750138196E-2</v>
      </c>
      <c r="BZ10" s="6">
        <f t="shared" si="12"/>
        <v>-0.26857526526502795</v>
      </c>
      <c r="CA10" s="6">
        <f t="shared" si="12"/>
        <v>-2.9010626232710862E-2</v>
      </c>
      <c r="CB10" s="6">
        <f t="shared" si="12"/>
        <v>0.68402019841318495</v>
      </c>
      <c r="CC10" s="6">
        <f t="shared" si="12"/>
        <v>-0.28275841728929912</v>
      </c>
      <c r="CD10" s="6">
        <f t="shared" si="12"/>
        <v>-0.38979361482192776</v>
      </c>
      <c r="CE10" s="6">
        <f t="shared" si="12"/>
        <v>0.10573756000355905</v>
      </c>
      <c r="CF10" s="6">
        <f t="shared" si="12"/>
        <v>3.1933637364564005E-2</v>
      </c>
      <c r="CG10" s="6">
        <f t="shared" si="12"/>
        <v>1.625456617383906</v>
      </c>
      <c r="CH10" s="6">
        <f t="shared" si="12"/>
        <v>-0.19245008972987523</v>
      </c>
      <c r="CK10" s="6">
        <f t="shared" si="16"/>
        <v>0</v>
      </c>
      <c r="CL10" s="6">
        <f t="shared" si="13"/>
        <v>0</v>
      </c>
      <c r="CM10" s="6">
        <f t="shared" si="13"/>
        <v>0</v>
      </c>
      <c r="CN10" s="6">
        <f t="shared" si="13"/>
        <v>0</v>
      </c>
      <c r="CO10" s="6">
        <f t="shared" si="13"/>
        <v>2.9957322735539909</v>
      </c>
      <c r="CP10" s="6">
        <f t="shared" si="13"/>
        <v>0</v>
      </c>
      <c r="CQ10" s="6">
        <f t="shared" si="13"/>
        <v>3.0910424533583161</v>
      </c>
      <c r="CR10" s="6">
        <f t="shared" si="13"/>
        <v>5.521460917862246</v>
      </c>
      <c r="CS10" s="6">
        <f t="shared" si="13"/>
        <v>4.7874917427820458</v>
      </c>
    </row>
    <row r="11" spans="1:97" x14ac:dyDescent="0.2">
      <c r="A11" s="8">
        <v>10</v>
      </c>
      <c r="B11" s="1" t="s">
        <v>63</v>
      </c>
      <c r="C11" s="2">
        <f>VLOOKUP(B11, '[1]1. persentasi stunting'!B:C, 2, FALSE)</f>
        <v>3.14</v>
      </c>
      <c r="D11" s="2">
        <f>VLOOKUP(B11, '[1]1. persentasi stunting'!B:D, 3, FALSE)</f>
        <v>4.16</v>
      </c>
      <c r="E11" s="2">
        <f>VLOOKUP(B11, '[1]1. persentasi stunting'!B:E, 4, FALSE)</f>
        <v>6.02</v>
      </c>
      <c r="F11" s="2">
        <f>VLOOKUP(B11, '[1]2.  WASTING DAN SEVERE W'!B:C, 2, FALSE)</f>
        <v>2.58</v>
      </c>
      <c r="G11" s="2">
        <f>VLOOKUP(B11, '[1]2.  WASTING DAN SEVERE W'!B:D, 3, FALSE)</f>
        <v>4.45</v>
      </c>
      <c r="H11" s="2">
        <f>VLOOKUP(B11, '[1]2.  WASTING DAN SEVERE W'!B:E, 4, FALSE)</f>
        <v>4.96</v>
      </c>
      <c r="I11" s="2">
        <f>VLOOKUP(B11, '[1]3. IMUNISASI DASAR LENGKAP'!B:C, 2, FALSE)</f>
        <v>99.1</v>
      </c>
      <c r="J11" s="2">
        <f>VLOOKUP(B11, '[1]3. IMUNISASI DASAR LENGKAP'!B:D, 3, FALSE)</f>
        <v>80.600000000000009</v>
      </c>
      <c r="K11" s="2">
        <f>VLOOKUP(B11, '[1]3. IMUNISASI DASAR LENGKAP'!B:E, 4, FALSE)</f>
        <v>70.599999999999994</v>
      </c>
      <c r="L11" s="2">
        <f>VLOOKUP(B11, '[1]4. GIZI BURUK'!B:C, 2, FALSE)</f>
        <v>86.44</v>
      </c>
      <c r="M11" s="2">
        <f>VLOOKUP(B11, '[1]4. GIZI BURUK'!B:D, 3, FALSE)</f>
        <v>97.47</v>
      </c>
      <c r="N11" s="2">
        <f>VLOOKUP(B11, '[1]4. GIZI BURUK'!B:E, 4, FALSE)</f>
        <v>100</v>
      </c>
      <c r="O11" s="2">
        <f>VLOOKUP(B11, '[1]5. KUNJUNGAN ANTENATAL K6'!B:C, 2, FALSE)</f>
        <v>94.1</v>
      </c>
      <c r="P11" s="2">
        <f>VLOOKUP(B11, '[1]5. KUNJUNGAN ANTENATAL K6'!B:D, 3, FALSE)</f>
        <v>83.9</v>
      </c>
      <c r="Q11" s="2">
        <f>VLOOKUP(B11, '[1]5. KUNJUNGAN ANTENATAL K6'!B:E, 4, FALSE)</f>
        <v>74.75</v>
      </c>
      <c r="R11" s="2">
        <f>VLOOKUP(B11, '[1]6. PF'!B:C, 2, FALSE)</f>
        <v>101.1</v>
      </c>
      <c r="S11" s="2">
        <f>VLOOKUP(B11, '[1]6. PF'!B:D, 3, FALSE)</f>
        <v>82.61</v>
      </c>
      <c r="T11" s="2">
        <f>VLOOKUP(B11, '[1]6. PF'!B:E, 4, FALSE)</f>
        <v>72.42</v>
      </c>
      <c r="U11" s="9">
        <f>IFERROR(VLOOKUP(B11, [1]HPAI!A:B, 2, FALSE), 0)</f>
        <v>147</v>
      </c>
      <c r="V11" s="9">
        <f>IFERROR(VLOOKUP(B11, [1]HPAI!A:C, 3, FALSE), 0)</f>
        <v>0</v>
      </c>
      <c r="W11" s="9">
        <f>IFERROR(VLOOKUP(B11, [1]HPAI!A:D, 4, FALSE), 0)</f>
        <v>90</v>
      </c>
      <c r="X11" s="9">
        <f>IFERROR(VLOOKUP(B11, [1]LSD!A:B, 2, FALSE), 0)</f>
        <v>1</v>
      </c>
      <c r="Y11" s="9">
        <f>IFERROR(VLOOKUP(B11, [1]LSD!A:C, 3, FALSE), 0)</f>
        <v>7</v>
      </c>
      <c r="Z11" s="9">
        <f>IFERROR(VLOOKUP(B11, [1]LSD!A:D, 4, FALSE), 0)</f>
        <v>0</v>
      </c>
      <c r="AA11" s="6">
        <f>IFERROR(VLOOKUP(B11, [1]PMK!A:B, 2, FALSE), 0)</f>
        <v>43</v>
      </c>
      <c r="AB11" s="6">
        <f>IFERROR(VLOOKUP(B11, [1]PMK!A:C, 3, FALSE), 0)</f>
        <v>86</v>
      </c>
      <c r="AC11" s="6">
        <f>IFERROR(VLOOKUP(B11, [1]PMK!A:D, 4, FALSE), 0)</f>
        <v>16</v>
      </c>
      <c r="AD11" s="6">
        <v>0</v>
      </c>
      <c r="AE11" s="6">
        <v>0</v>
      </c>
      <c r="AF11" s="6">
        <v>0</v>
      </c>
      <c r="AG11" s="6">
        <f>VLOOKUP(B11, [1]GHPR2024!B:S, 18, FALSE)</f>
        <v>28.767123287671232</v>
      </c>
      <c r="AH11" s="6">
        <f>VLOOKUP(B11, [1]GHPR2025!B:AE, 30, FALSE)</f>
        <v>24.291497975708502</v>
      </c>
      <c r="AI11" s="6">
        <f>VLOOKUP(B11, [1]Dengue2023!B:E, 4, FALSE)</f>
        <v>253</v>
      </c>
      <c r="AJ11" s="6">
        <f>VLOOKUP(B11, [1]Dengue2024!B:E, 4, FALSE)</f>
        <v>1275</v>
      </c>
      <c r="AK11" s="6">
        <f>VLOOKUP(B11, [1]Food!D:G, 4, FALSE)</f>
        <v>81.39</v>
      </c>
      <c r="AL11" s="6">
        <f>VLOOKUP(B11, [1]IRBI!E:F, 2, FALSE)</f>
        <v>108.99</v>
      </c>
      <c r="AM11" s="10">
        <f t="shared" si="4"/>
        <v>237</v>
      </c>
      <c r="AN11" s="10">
        <f t="shared" si="5"/>
        <v>8</v>
      </c>
      <c r="AO11" s="6">
        <f t="shared" si="6"/>
        <v>145</v>
      </c>
      <c r="AP11" s="6">
        <f>VLOOKUP(B11, [1]StuntingSSGI!A:B, 2, FALSE)</f>
        <v>18</v>
      </c>
      <c r="AQ11" s="6">
        <f>VLOOKUP(B11, [1]StuntingSSGI!A:L, 12, FALSE)</f>
        <v>7</v>
      </c>
      <c r="AR11" s="6">
        <f t="shared" si="7"/>
        <v>0</v>
      </c>
      <c r="AS11" s="6">
        <f t="shared" si="14"/>
        <v>-0.73548314640807355</v>
      </c>
      <c r="AT11" s="6">
        <f t="shared" si="8"/>
        <v>-0.41339689924650264</v>
      </c>
      <c r="AU11" s="6">
        <f t="shared" si="8"/>
        <v>-0.48960239377257414</v>
      </c>
      <c r="AV11" s="6">
        <f t="shared" si="8"/>
        <v>-0.62015651891828583</v>
      </c>
      <c r="AW11" s="6">
        <f t="shared" si="8"/>
        <v>0.49036521506479686</v>
      </c>
      <c r="AX11" s="6">
        <f t="shared" si="8"/>
        <v>0.79049559880500275</v>
      </c>
      <c r="AY11" s="6">
        <f t="shared" si="8"/>
        <v>0.13626416414714415</v>
      </c>
      <c r="AZ11" s="6">
        <f t="shared" si="8"/>
        <v>-0.78053608590042078</v>
      </c>
      <c r="BA11" s="6">
        <f t="shared" si="8"/>
        <v>-1.5230077763059597</v>
      </c>
      <c r="BB11" s="6">
        <f t="shared" si="8"/>
        <v>-1.4924989655196446</v>
      </c>
      <c r="BC11" s="6">
        <f t="shared" si="8"/>
        <v>0.33040218513422837</v>
      </c>
      <c r="BD11" s="6">
        <f t="shared" si="8"/>
        <v>0.35534176841225001</v>
      </c>
      <c r="BE11" s="6">
        <f t="shared" si="8"/>
        <v>0.96791404761606359</v>
      </c>
      <c r="BF11" s="6">
        <f t="shared" si="8"/>
        <v>-0.24525183852911478</v>
      </c>
      <c r="BG11" s="6">
        <f t="shared" si="8"/>
        <v>-0.73024002754190653</v>
      </c>
      <c r="BH11" s="6">
        <f t="shared" si="8"/>
        <v>0.74402254901063247</v>
      </c>
      <c r="BI11" s="6">
        <f t="shared" si="9"/>
        <v>-0.47014823756850221</v>
      </c>
      <c r="BJ11" s="6">
        <f t="shared" si="9"/>
        <v>-0.90692704549135605</v>
      </c>
      <c r="BK11" s="6">
        <f t="shared" si="15"/>
        <v>1.4766284231941997</v>
      </c>
      <c r="BL11" s="6">
        <f t="shared" si="10"/>
        <v>-0.19245008972987526</v>
      </c>
      <c r="BM11" s="6">
        <f t="shared" si="10"/>
        <v>2.4464889838645143</v>
      </c>
      <c r="BN11" s="6">
        <f t="shared" si="10"/>
        <v>-0.4809994421541986</v>
      </c>
      <c r="BO11" s="6">
        <f t="shared" si="10"/>
        <v>0.31733653831051284</v>
      </c>
      <c r="BP11" s="6">
        <f t="shared" si="10"/>
        <v>-0.36769283680818904</v>
      </c>
      <c r="BQ11" s="6">
        <f t="shared" si="10"/>
        <v>0.16786306280317004</v>
      </c>
      <c r="BR11" s="6">
        <f t="shared" si="10"/>
        <v>0.26943465789535559</v>
      </c>
      <c r="BS11" s="6">
        <f t="shared" si="10"/>
        <v>0.68562969515724193</v>
      </c>
      <c r="BT11" s="6">
        <v>0</v>
      </c>
      <c r="BU11" s="6">
        <f t="shared" si="11"/>
        <v>-0.19245008972987523</v>
      </c>
      <c r="BV11" s="6">
        <v>0</v>
      </c>
      <c r="BW11" s="6">
        <f t="shared" si="12"/>
        <v>-1.0879073906977219</v>
      </c>
      <c r="BX11" s="6">
        <f t="shared" si="12"/>
        <v>-1.215422841076788</v>
      </c>
      <c r="BY11" s="6">
        <f t="shared" si="12"/>
        <v>-0.87465038984596621</v>
      </c>
      <c r="BZ11" s="6">
        <f t="shared" si="12"/>
        <v>-0.60769317898300557</v>
      </c>
      <c r="CA11" s="6">
        <f t="shared" si="12"/>
        <v>-0.14586461721202709</v>
      </c>
      <c r="CB11" s="6">
        <f t="shared" si="12"/>
        <v>-0.18700093317014352</v>
      </c>
      <c r="CC11" s="6">
        <f t="shared" si="12"/>
        <v>-0.1416328333072209</v>
      </c>
      <c r="CD11" s="6">
        <f t="shared" si="12"/>
        <v>-0.55013807964479833</v>
      </c>
      <c r="CE11" s="6">
        <f t="shared" si="12"/>
        <v>-0.44493362205450188</v>
      </c>
      <c r="CF11" s="6">
        <f t="shared" si="12"/>
        <v>3.1933637364564005E-2</v>
      </c>
      <c r="CG11" s="6">
        <f t="shared" si="12"/>
        <v>1.2724754216517442</v>
      </c>
      <c r="CH11" s="6">
        <f t="shared" si="12"/>
        <v>-0.19245008972987523</v>
      </c>
      <c r="CK11" s="6">
        <f t="shared" si="16"/>
        <v>4.9972122737641147</v>
      </c>
      <c r="CL11" s="6">
        <f t="shared" si="13"/>
        <v>0</v>
      </c>
      <c r="CM11" s="6">
        <f t="shared" si="13"/>
        <v>4.5108595065168497</v>
      </c>
      <c r="CN11" s="6">
        <f t="shared" si="13"/>
        <v>0.69314718055994529</v>
      </c>
      <c r="CO11" s="6">
        <f t="shared" si="13"/>
        <v>2.0794415416798357</v>
      </c>
      <c r="CP11" s="6">
        <f t="shared" si="13"/>
        <v>0</v>
      </c>
      <c r="CQ11" s="6">
        <f t="shared" si="13"/>
        <v>3.784189633918261</v>
      </c>
      <c r="CR11" s="6">
        <f t="shared" si="13"/>
        <v>4.4659081186545837</v>
      </c>
      <c r="CS11" s="6">
        <f t="shared" si="13"/>
        <v>2.8332133440562162</v>
      </c>
    </row>
    <row r="12" spans="1:97" x14ac:dyDescent="0.2">
      <c r="A12" s="8">
        <v>11</v>
      </c>
      <c r="B12" s="1" t="s">
        <v>64</v>
      </c>
      <c r="C12" s="2">
        <f>VLOOKUP(B12, '[1]1. persentasi stunting'!B:C, 2, FALSE)</f>
        <v>8.4700000000000006</v>
      </c>
      <c r="D12" s="2">
        <f>VLOOKUP(B12, '[1]1. persentasi stunting'!B:D, 3, FALSE)</f>
        <v>7.35</v>
      </c>
      <c r="E12" s="2">
        <f>VLOOKUP(B12, '[1]1. persentasi stunting'!B:E, 4, FALSE)</f>
        <v>10.31</v>
      </c>
      <c r="F12" s="2">
        <f>VLOOKUP(B12, '[1]2.  WASTING DAN SEVERE W'!B:C, 2, FALSE)</f>
        <v>3.81</v>
      </c>
      <c r="G12" s="2">
        <f>VLOOKUP(B12, '[1]2.  WASTING DAN SEVERE W'!B:D, 3, FALSE)</f>
        <v>3.87</v>
      </c>
      <c r="H12" s="2">
        <f>VLOOKUP(B12, '[1]2.  WASTING DAN SEVERE W'!B:E, 4, FALSE)</f>
        <v>3.18</v>
      </c>
      <c r="I12" s="2">
        <f>VLOOKUP(B12, '[1]3. IMUNISASI DASAR LENGKAP'!B:C, 2, FALSE)</f>
        <v>99</v>
      </c>
      <c r="J12" s="2">
        <f>VLOOKUP(B12, '[1]3. IMUNISASI DASAR LENGKAP'!B:D, 3, FALSE)</f>
        <v>90.4</v>
      </c>
      <c r="K12" s="2">
        <f>VLOOKUP(B12, '[1]3. IMUNISASI DASAR LENGKAP'!B:E, 4, FALSE)</f>
        <v>85.399999999999991</v>
      </c>
      <c r="L12" s="2">
        <f>VLOOKUP(B12, '[1]4. GIZI BURUK'!B:C, 2, FALSE)</f>
        <v>92.31</v>
      </c>
      <c r="M12" s="2">
        <f>VLOOKUP(B12, '[1]4. GIZI BURUK'!B:D, 3, FALSE)</f>
        <v>97.12</v>
      </c>
      <c r="N12" s="2">
        <f>VLOOKUP(B12, '[1]4. GIZI BURUK'!B:E, 4, FALSE)</f>
        <v>98.86</v>
      </c>
      <c r="O12" s="2">
        <f>VLOOKUP(B12, '[1]5. KUNJUNGAN ANTENATAL K6'!B:C, 2, FALSE)</f>
        <v>83.3</v>
      </c>
      <c r="P12" s="2">
        <f>VLOOKUP(B12, '[1]5. KUNJUNGAN ANTENATAL K6'!B:D, 3, FALSE)</f>
        <v>73.5</v>
      </c>
      <c r="Q12" s="2">
        <f>VLOOKUP(B12, '[1]5. KUNJUNGAN ANTENATAL K6'!B:E, 4, FALSE)</f>
        <v>65.540000000000006</v>
      </c>
      <c r="R12" s="2">
        <f>VLOOKUP(B12, '[1]6. PF'!B:C, 2, FALSE)</f>
        <v>95</v>
      </c>
      <c r="S12" s="2">
        <f>VLOOKUP(B12, '[1]6. PF'!B:D, 3, FALSE)</f>
        <v>78.3</v>
      </c>
      <c r="T12" s="2">
        <f>VLOOKUP(B12, '[1]6. PF'!B:E, 4, FALSE)</f>
        <v>69.900000000000006</v>
      </c>
      <c r="U12" s="9">
        <f>IFERROR(VLOOKUP(B12, [1]HPAI!A:B, 2, FALSE), 0)</f>
        <v>0</v>
      </c>
      <c r="V12" s="9">
        <f>IFERROR(VLOOKUP(B12, [1]HPAI!A:C, 3, FALSE), 0)</f>
        <v>0</v>
      </c>
      <c r="W12" s="9">
        <f>IFERROR(VLOOKUP(B12, [1]HPAI!A:D, 4, FALSE), 0)</f>
        <v>0</v>
      </c>
      <c r="X12" s="9">
        <f>IFERROR(VLOOKUP(B12, [1]LSD!A:B, 2, FALSE), 0)</f>
        <v>44</v>
      </c>
      <c r="Y12" s="9">
        <f>IFERROR(VLOOKUP(B12, [1]LSD!A:C, 3, FALSE), 0)</f>
        <v>0</v>
      </c>
      <c r="Z12" s="9">
        <f>IFERROR(VLOOKUP(B12, [1]LSD!A:D, 4, FALSE), 0)</f>
        <v>0</v>
      </c>
      <c r="AA12" s="6">
        <f>IFERROR(VLOOKUP(B12, [1]PMK!A:B, 2, FALSE), 0)</f>
        <v>510</v>
      </c>
      <c r="AB12" s="6">
        <f>IFERROR(VLOOKUP(B12, [1]PMK!A:C, 3, FALSE), 0)</f>
        <v>110</v>
      </c>
      <c r="AC12" s="6">
        <f>IFERROR(VLOOKUP(B12, [1]PMK!A:D, 4, FALSE), 0)</f>
        <v>18</v>
      </c>
      <c r="AD12" s="6">
        <v>0</v>
      </c>
      <c r="AE12" s="6">
        <v>0</v>
      </c>
      <c r="AF12" s="6">
        <v>0</v>
      </c>
      <c r="AG12" s="6">
        <f>VLOOKUP(B12, [1]GHPR2024!B:S, 18, FALSE)</f>
        <v>9.2827004219409286</v>
      </c>
      <c r="AH12" s="6">
        <f>VLOOKUP(B12, [1]GHPR2025!B:AE, 30, FALSE)</f>
        <v>19.37799043062201</v>
      </c>
      <c r="AI12" s="6">
        <f>VLOOKUP(B12, [1]Dengue2023!B:E, 4, FALSE)</f>
        <v>1308</v>
      </c>
      <c r="AJ12" s="6">
        <f>VLOOKUP(B12, [1]Dengue2024!B:E, 4, FALSE)</f>
        <v>2303</v>
      </c>
      <c r="AK12" s="6">
        <f>VLOOKUP(B12, [1]Food!D:G, 4, FALSE)</f>
        <v>84.88</v>
      </c>
      <c r="AL12" s="6">
        <f>VLOOKUP(B12, [1]IRBI!E:F, 2, FALSE)</f>
        <v>127.24</v>
      </c>
      <c r="AM12" s="10">
        <f t="shared" si="4"/>
        <v>0</v>
      </c>
      <c r="AN12" s="10">
        <f t="shared" si="5"/>
        <v>44</v>
      </c>
      <c r="AO12" s="6">
        <f t="shared" si="6"/>
        <v>638</v>
      </c>
      <c r="AP12" s="6">
        <f>VLOOKUP(B12, [1]StuntingSSGI!A:B, 2, FALSE)</f>
        <v>17</v>
      </c>
      <c r="AQ12" s="6">
        <f>VLOOKUP(B12, [1]StuntingSSGI!A:L, 12, FALSE)</f>
        <v>2.6</v>
      </c>
      <c r="AR12" s="6">
        <f t="shared" si="7"/>
        <v>0</v>
      </c>
      <c r="AS12" s="6">
        <f t="shared" si="14"/>
        <v>0.79803437894089668</v>
      </c>
      <c r="AT12" s="6">
        <f t="shared" si="8"/>
        <v>0.49445304802788043</v>
      </c>
      <c r="AU12" s="6">
        <f t="shared" si="8"/>
        <v>0.54488584538607643</v>
      </c>
      <c r="AV12" s="6">
        <f t="shared" si="8"/>
        <v>0.18750614748470507</v>
      </c>
      <c r="AW12" s="6">
        <f t="shared" si="8"/>
        <v>0.11189704020453486</v>
      </c>
      <c r="AX12" s="6">
        <f t="shared" si="8"/>
        <v>-0.38352227754136375</v>
      </c>
      <c r="AY12" s="6">
        <f t="shared" si="8"/>
        <v>0.12298209760572643</v>
      </c>
      <c r="AZ12" s="6">
        <f t="shared" si="8"/>
        <v>-1.7659187463824452E-3</v>
      </c>
      <c r="BA12" s="6">
        <f t="shared" si="8"/>
        <v>-0.29625126066020091</v>
      </c>
      <c r="BB12" s="6">
        <f t="shared" si="8"/>
        <v>-0.74338992715245178</v>
      </c>
      <c r="BC12" s="6">
        <f t="shared" si="8"/>
        <v>0.30143029453834436</v>
      </c>
      <c r="BD12" s="6">
        <f t="shared" si="8"/>
        <v>0.23226964472901598</v>
      </c>
      <c r="BE12" s="6">
        <f t="shared" si="8"/>
        <v>-1.9956990672486499E-3</v>
      </c>
      <c r="BF12" s="6">
        <f t="shared" si="8"/>
        <v>-1.1236538316282934</v>
      </c>
      <c r="BG12" s="6">
        <f t="shared" si="8"/>
        <v>-1.3656768741277838</v>
      </c>
      <c r="BH12" s="6">
        <f t="shared" si="8"/>
        <v>-0.13947070132859726</v>
      </c>
      <c r="BI12" s="6">
        <f t="shared" si="9"/>
        <v>-0.84034344973337738</v>
      </c>
      <c r="BJ12" s="6">
        <f t="shared" si="9"/>
        <v>-1.0888096645712388</v>
      </c>
      <c r="BK12" s="6">
        <f t="shared" si="15"/>
        <v>-0.44614244817577825</v>
      </c>
      <c r="BL12" s="6">
        <f t="shared" si="10"/>
        <v>-0.19245008972987526</v>
      </c>
      <c r="BM12" s="6">
        <f t="shared" si="10"/>
        <v>-0.34414965772374678</v>
      </c>
      <c r="BN12" s="6">
        <f t="shared" si="10"/>
        <v>1.1912257349010011</v>
      </c>
      <c r="BO12" s="6">
        <f t="shared" si="10"/>
        <v>-0.80410859391096701</v>
      </c>
      <c r="BP12" s="6">
        <f t="shared" si="10"/>
        <v>-0.36769283680818904</v>
      </c>
      <c r="BQ12" s="6">
        <f t="shared" si="10"/>
        <v>1.1617459445234328</v>
      </c>
      <c r="BR12" s="6">
        <f t="shared" si="10"/>
        <v>0.39832365027917011</v>
      </c>
      <c r="BS12" s="6">
        <f t="shared" si="10"/>
        <v>0.74110169943536885</v>
      </c>
      <c r="BT12" s="6">
        <v>0</v>
      </c>
      <c r="BU12" s="6">
        <f t="shared" si="11"/>
        <v>-0.19245008972987523</v>
      </c>
      <c r="BV12" s="6">
        <v>0</v>
      </c>
      <c r="BW12" s="6">
        <f t="shared" si="12"/>
        <v>-1.7044345740971905</v>
      </c>
      <c r="BX12" s="6">
        <f t="shared" si="12"/>
        <v>-1.3776216804719197</v>
      </c>
      <c r="BY12" s="6">
        <f t="shared" si="12"/>
        <v>1.1189813901622236</v>
      </c>
      <c r="BZ12" s="6">
        <f t="shared" si="12"/>
        <v>1.7061687149756106E-2</v>
      </c>
      <c r="CA12" s="6">
        <f t="shared" si="12"/>
        <v>0.49135480234705525</v>
      </c>
      <c r="CB12" s="6">
        <f t="shared" si="12"/>
        <v>0.47396104817687296</v>
      </c>
      <c r="CC12" s="6">
        <f t="shared" si="12"/>
        <v>-0.28275841728929912</v>
      </c>
      <c r="CD12" s="6">
        <f t="shared" si="12"/>
        <v>-2.5374376588131027E-2</v>
      </c>
      <c r="CE12" s="6">
        <f t="shared" si="12"/>
        <v>0.6676929875955967</v>
      </c>
      <c r="CF12" s="6">
        <f t="shared" si="12"/>
        <v>-0.17335403140763861</v>
      </c>
      <c r="CG12" s="6">
        <f t="shared" si="12"/>
        <v>-1.3160533470507776</v>
      </c>
      <c r="CH12" s="6">
        <f t="shared" si="12"/>
        <v>-0.19245008972987523</v>
      </c>
      <c r="CK12" s="6">
        <f t="shared" si="16"/>
        <v>0</v>
      </c>
      <c r="CL12" s="6">
        <f t="shared" si="13"/>
        <v>0</v>
      </c>
      <c r="CM12" s="6">
        <f t="shared" si="13"/>
        <v>0</v>
      </c>
      <c r="CN12" s="6">
        <f t="shared" si="13"/>
        <v>3.8066624897703196</v>
      </c>
      <c r="CO12" s="6">
        <f t="shared" si="13"/>
        <v>0</v>
      </c>
      <c r="CP12" s="6">
        <f t="shared" si="13"/>
        <v>0</v>
      </c>
      <c r="CQ12" s="6">
        <f t="shared" si="13"/>
        <v>6.2363695902037044</v>
      </c>
      <c r="CR12" s="6">
        <f t="shared" si="13"/>
        <v>4.7095302013123339</v>
      </c>
      <c r="CS12" s="6">
        <f t="shared" si="13"/>
        <v>2.9444389791664403</v>
      </c>
    </row>
    <row r="13" spans="1:97" x14ac:dyDescent="0.2">
      <c r="A13" s="8">
        <v>12</v>
      </c>
      <c r="B13" s="1" t="s">
        <v>65</v>
      </c>
      <c r="C13" s="2">
        <f>VLOOKUP(B13, '[1]1. persentasi stunting'!B:C, 2, FALSE)</f>
        <v>5</v>
      </c>
      <c r="D13" s="2">
        <f>VLOOKUP(B13, '[1]1. persentasi stunting'!B:D, 3, FALSE)</f>
        <v>2.2999999999999998</v>
      </c>
      <c r="E13" s="2">
        <f>VLOOKUP(B13, '[1]1. persentasi stunting'!B:E, 4, FALSE)</f>
        <v>7.04</v>
      </c>
      <c r="F13" s="2">
        <f>VLOOKUP(B13, '[1]2.  WASTING DAN SEVERE W'!B:C, 2, FALSE)</f>
        <v>6.63</v>
      </c>
      <c r="G13" s="2">
        <f>VLOOKUP(B13, '[1]2.  WASTING DAN SEVERE W'!B:D, 3, FALSE)</f>
        <v>5.24</v>
      </c>
      <c r="H13" s="2">
        <f>VLOOKUP(B13, '[1]2.  WASTING DAN SEVERE W'!B:E, 4, FALSE)</f>
        <v>4.49</v>
      </c>
      <c r="I13" s="2">
        <f>VLOOKUP(B13, '[1]3. IMUNISASI DASAR LENGKAP'!B:C, 2, FALSE)</f>
        <v>99.4</v>
      </c>
      <c r="J13" s="2">
        <f>VLOOKUP(B13, '[1]3. IMUNISASI DASAR LENGKAP'!B:D, 3, FALSE)</f>
        <v>106.3</v>
      </c>
      <c r="K13" s="2">
        <f>VLOOKUP(B13, '[1]3. IMUNISASI DASAR LENGKAP'!B:E, 4, FALSE)</f>
        <v>82.399999999999991</v>
      </c>
      <c r="L13" s="2">
        <f>VLOOKUP(B13, '[1]4. GIZI BURUK'!B:C, 2, FALSE)</f>
        <v>96</v>
      </c>
      <c r="M13" s="2">
        <f>VLOOKUP(B13, '[1]4. GIZI BURUK'!B:D, 3, FALSE)</f>
        <v>100</v>
      </c>
      <c r="N13" s="2">
        <f>VLOOKUP(B13, '[1]4. GIZI BURUK'!B:E, 4, FALSE)</f>
        <v>96.43</v>
      </c>
      <c r="O13" s="2">
        <f>VLOOKUP(B13, '[1]5. KUNJUNGAN ANTENATAL K6'!B:C, 2, FALSE)</f>
        <v>87.2</v>
      </c>
      <c r="P13" s="2">
        <f>VLOOKUP(B13, '[1]5. KUNJUNGAN ANTENATAL K6'!B:D, 3, FALSE)</f>
        <v>75.400000000000006</v>
      </c>
      <c r="Q13" s="2">
        <f>VLOOKUP(B13, '[1]5. KUNJUNGAN ANTENATAL K6'!B:E, 4, FALSE)</f>
        <v>74.150000000000006</v>
      </c>
      <c r="R13" s="2">
        <f>VLOOKUP(B13, '[1]6. PF'!B:C, 2, FALSE)</f>
        <v>97.1</v>
      </c>
      <c r="S13" s="2">
        <f>VLOOKUP(B13, '[1]6. PF'!B:D, 3, FALSE)</f>
        <v>78.19</v>
      </c>
      <c r="T13" s="2">
        <f>VLOOKUP(B13, '[1]6. PF'!B:E, 4, FALSE)</f>
        <v>75.650000000000006</v>
      </c>
      <c r="U13" s="9">
        <f>IFERROR(VLOOKUP(B13, [1]HPAI!A:B, 2, FALSE), 0)</f>
        <v>310</v>
      </c>
      <c r="V13" s="9">
        <f>IFERROR(VLOOKUP(B13, [1]HPAI!A:C, 3, FALSE), 0)</f>
        <v>1571</v>
      </c>
      <c r="W13" s="9">
        <f>IFERROR(VLOOKUP(B13, [1]HPAI!A:D, 4, FALSE), 0)</f>
        <v>348</v>
      </c>
      <c r="X13" s="9">
        <f>IFERROR(VLOOKUP(B13, [1]LSD!A:B, 2, FALSE), 0)</f>
        <v>8</v>
      </c>
      <c r="Y13" s="9">
        <f>IFERROR(VLOOKUP(B13, [1]LSD!A:C, 3, FALSE), 0)</f>
        <v>162</v>
      </c>
      <c r="Z13" s="9">
        <f>IFERROR(VLOOKUP(B13, [1]LSD!A:D, 4, FALSE), 0)</f>
        <v>33</v>
      </c>
      <c r="AA13" s="6">
        <f>IFERROR(VLOOKUP(B13, [1]PMK!A:B, 2, FALSE), 0)</f>
        <v>492</v>
      </c>
      <c r="AB13" s="6">
        <f>IFERROR(VLOOKUP(B13, [1]PMK!A:C, 3, FALSE), 0)</f>
        <v>174</v>
      </c>
      <c r="AC13" s="6">
        <f>IFERROR(VLOOKUP(B13, [1]PMK!A:D, 4, FALSE), 0)</f>
        <v>256</v>
      </c>
      <c r="AD13" s="6">
        <v>0</v>
      </c>
      <c r="AE13" s="6">
        <v>0</v>
      </c>
      <c r="AF13" s="6">
        <v>0</v>
      </c>
      <c r="AG13" s="6">
        <f>VLOOKUP(B13, [1]GHPR2024!B:S, 18, FALSE)</f>
        <v>100</v>
      </c>
      <c r="AH13" s="6">
        <f>VLOOKUP(B13, [1]GHPR2025!B:AE, 30, FALSE)</f>
        <v>84.251968503937007</v>
      </c>
      <c r="AI13" s="6">
        <f>VLOOKUP(B13, [1]Dengue2023!B:E, 4, FALSE)</f>
        <v>218</v>
      </c>
      <c r="AJ13" s="6">
        <f>VLOOKUP(B13, [1]Dengue2024!B:E, 4, FALSE)</f>
        <v>528</v>
      </c>
      <c r="AK13" s="6">
        <f>VLOOKUP(B13, [1]Food!D:G, 4, FALSE)</f>
        <v>84.52</v>
      </c>
      <c r="AL13" s="6">
        <f>VLOOKUP(B13, [1]IRBI!E:F, 2, FALSE)</f>
        <v>99.21</v>
      </c>
      <c r="AM13" s="10">
        <f t="shared" si="4"/>
        <v>2229</v>
      </c>
      <c r="AN13" s="10">
        <f t="shared" si="5"/>
        <v>203</v>
      </c>
      <c r="AO13" s="6">
        <f t="shared" si="6"/>
        <v>922</v>
      </c>
      <c r="AP13" s="6">
        <f>VLOOKUP(B13, [1]StuntingSSGI!A:B, 2, FALSE)</f>
        <v>9.8000000000000007</v>
      </c>
      <c r="AQ13" s="6">
        <f>VLOOKUP(B13, [1]StuntingSSGI!A:L, 12, FALSE)</f>
        <v>6.7</v>
      </c>
      <c r="AR13" s="6">
        <f t="shared" si="7"/>
        <v>0</v>
      </c>
      <c r="AS13" s="6">
        <f t="shared" si="14"/>
        <v>-0.20033444150205404</v>
      </c>
      <c r="AT13" s="6">
        <f t="shared" si="8"/>
        <v>-0.94273887477325913</v>
      </c>
      <c r="AU13" s="6">
        <f t="shared" si="8"/>
        <v>-0.24364015509149631</v>
      </c>
      <c r="AV13" s="6">
        <f t="shared" si="8"/>
        <v>2.0392205533842453</v>
      </c>
      <c r="AW13" s="6">
        <f t="shared" si="8"/>
        <v>1.0058649704779123</v>
      </c>
      <c r="AX13" s="6">
        <f t="shared" si="8"/>
        <v>0.48050211460118702</v>
      </c>
      <c r="AY13" s="6">
        <f t="shared" si="8"/>
        <v>0.1761103637714011</v>
      </c>
      <c r="AZ13" s="6">
        <f t="shared" si="8"/>
        <v>1.2617489442892509</v>
      </c>
      <c r="BA13" s="6">
        <f t="shared" si="8"/>
        <v>-0.54491812193974665</v>
      </c>
      <c r="BB13" s="6">
        <f t="shared" si="8"/>
        <v>-0.2724849268841491</v>
      </c>
      <c r="BC13" s="6">
        <f t="shared" si="8"/>
        <v>0.53982756572733592</v>
      </c>
      <c r="BD13" s="6">
        <f t="shared" si="8"/>
        <v>-3.0068303122087192E-2</v>
      </c>
      <c r="BE13" s="6">
        <f t="shared" si="8"/>
        <v>0.34824948723505916</v>
      </c>
      <c r="BF13" s="6">
        <f t="shared" si="8"/>
        <v>-0.96317654442748157</v>
      </c>
      <c r="BG13" s="6">
        <f t="shared" si="8"/>
        <v>-0.77163656477877118</v>
      </c>
      <c r="BH13" s="6">
        <f t="shared" si="8"/>
        <v>0.16468271272261242</v>
      </c>
      <c r="BI13" s="6">
        <f t="shared" si="9"/>
        <v>-0.84979158739883809</v>
      </c>
      <c r="BJ13" s="6">
        <f t="shared" si="9"/>
        <v>-0.67379972024214063</v>
      </c>
      <c r="BK13" s="6">
        <f t="shared" si="15"/>
        <v>1.7623502102561737</v>
      </c>
      <c r="BL13" s="6">
        <f t="shared" si="10"/>
        <v>5.0037023329767569</v>
      </c>
      <c r="BM13" s="6">
        <f t="shared" si="10"/>
        <v>3.2780846264012613</v>
      </c>
      <c r="BN13" s="6">
        <f t="shared" si="10"/>
        <v>0.32681932259978097</v>
      </c>
      <c r="BO13" s="6">
        <f t="shared" si="10"/>
        <v>1.9429565449494939</v>
      </c>
      <c r="BP13" s="6">
        <f t="shared" si="10"/>
        <v>2.9148130967781722</v>
      </c>
      <c r="BQ13" s="6">
        <f t="shared" si="10"/>
        <v>1.1472115080672334</v>
      </c>
      <c r="BR13" s="6">
        <f t="shared" si="10"/>
        <v>0.63917808009373844</v>
      </c>
      <c r="BS13" s="6">
        <f t="shared" si="10"/>
        <v>2.0401227437186553</v>
      </c>
      <c r="BT13" s="6">
        <v>0</v>
      </c>
      <c r="BU13" s="6">
        <f t="shared" si="11"/>
        <v>-0.19245008972987523</v>
      </c>
      <c r="BV13" s="6">
        <v>0</v>
      </c>
      <c r="BW13" s="6">
        <f t="shared" si="12"/>
        <v>1.1660472246137741</v>
      </c>
      <c r="BX13" s="6">
        <f t="shared" si="12"/>
        <v>0.76392055872936138</v>
      </c>
      <c r="BY13" s="6">
        <f t="shared" si="12"/>
        <v>-0.94078983278462658</v>
      </c>
      <c r="BZ13" s="6">
        <f t="shared" si="12"/>
        <v>-1.0616736118635239</v>
      </c>
      <c r="CA13" s="6">
        <f t="shared" si="12"/>
        <v>0.42562443242119002</v>
      </c>
      <c r="CB13" s="6">
        <f t="shared" si="12"/>
        <v>-0.54120412098240778</v>
      </c>
      <c r="CC13" s="6">
        <f t="shared" si="12"/>
        <v>1.0445366320611331</v>
      </c>
      <c r="CD13" s="6">
        <f t="shared" si="12"/>
        <v>2.2923319785788161</v>
      </c>
      <c r="CE13" s="6">
        <f t="shared" si="12"/>
        <v>1.3086381339254709</v>
      </c>
      <c r="CF13" s="6">
        <f t="shared" si="12"/>
        <v>-1.6514252465674972</v>
      </c>
      <c r="CG13" s="6">
        <f t="shared" si="12"/>
        <v>1.0959848237856633</v>
      </c>
      <c r="CH13" s="6">
        <f t="shared" si="12"/>
        <v>-0.19245008972987523</v>
      </c>
      <c r="CK13" s="6">
        <f t="shared" si="16"/>
        <v>5.7397929121792339</v>
      </c>
      <c r="CL13" s="6">
        <f t="shared" si="13"/>
        <v>7.360103972989152</v>
      </c>
      <c r="CM13" s="6">
        <f t="shared" si="13"/>
        <v>5.855071922202427</v>
      </c>
      <c r="CN13" s="6">
        <f t="shared" si="13"/>
        <v>2.1972245773362196</v>
      </c>
      <c r="CO13" s="6">
        <f t="shared" si="13"/>
        <v>5.0937502008067623</v>
      </c>
      <c r="CP13" s="6">
        <f t="shared" si="13"/>
        <v>3.5263605246161616</v>
      </c>
      <c r="CQ13" s="6">
        <f t="shared" si="13"/>
        <v>6.2005091740426899</v>
      </c>
      <c r="CR13" s="6">
        <f t="shared" si="13"/>
        <v>5.1647859739235145</v>
      </c>
      <c r="CS13" s="6">
        <f t="shared" si="13"/>
        <v>5.5490760848952201</v>
      </c>
    </row>
    <row r="14" spans="1:97" x14ac:dyDescent="0.2">
      <c r="A14" s="8">
        <v>13</v>
      </c>
      <c r="B14" s="1" t="s">
        <v>66</v>
      </c>
      <c r="C14" s="2">
        <f>VLOOKUP(B14, '[1]1. persentasi stunting'!B:C, 2, FALSE)</f>
        <v>1.96</v>
      </c>
      <c r="D14" s="2">
        <f>VLOOKUP(B14, '[1]1. persentasi stunting'!B:D, 3, FALSE)</f>
        <v>1.6</v>
      </c>
      <c r="E14" s="2">
        <f>VLOOKUP(B14, '[1]1. persentasi stunting'!B:E, 4, FALSE)</f>
        <v>4.4400000000000004</v>
      </c>
      <c r="F14" s="2">
        <f>VLOOKUP(B14, '[1]2.  WASTING DAN SEVERE W'!B:C, 2, FALSE)</f>
        <v>2.23</v>
      </c>
      <c r="G14" s="2">
        <f>VLOOKUP(B14, '[1]2.  WASTING DAN SEVERE W'!B:D, 3, FALSE)</f>
        <v>2.34</v>
      </c>
      <c r="H14" s="2">
        <f>VLOOKUP(B14, '[1]2.  WASTING DAN SEVERE W'!B:E, 4, FALSE)</f>
        <v>2.72</v>
      </c>
      <c r="I14" s="2">
        <f>VLOOKUP(B14, '[1]3. IMUNISASI DASAR LENGKAP'!B:C, 2, FALSE)</f>
        <v>103.2</v>
      </c>
      <c r="J14" s="2">
        <f>VLOOKUP(B14, '[1]3. IMUNISASI DASAR LENGKAP'!B:D, 3, FALSE)</f>
        <v>92.300000000000011</v>
      </c>
      <c r="K14" s="2">
        <f>VLOOKUP(B14, '[1]3. IMUNISASI DASAR LENGKAP'!B:E, 4, FALSE)</f>
        <v>97.1</v>
      </c>
      <c r="L14" s="2">
        <f>VLOOKUP(B14, '[1]4. GIZI BURUK'!B:C, 2, FALSE)</f>
        <v>98.97</v>
      </c>
      <c r="M14" s="2">
        <f>VLOOKUP(B14, '[1]4. GIZI BURUK'!B:D, 3, FALSE)</f>
        <v>89.29</v>
      </c>
      <c r="N14" s="2">
        <f>VLOOKUP(B14, '[1]4. GIZI BURUK'!B:E, 4, FALSE)</f>
        <v>93.98</v>
      </c>
      <c r="O14" s="2">
        <f>VLOOKUP(B14, '[1]5. KUNJUNGAN ANTENATAL K6'!B:C, 2, FALSE)</f>
        <v>70.599999999999994</v>
      </c>
      <c r="P14" s="2">
        <f>VLOOKUP(B14, '[1]5. KUNJUNGAN ANTENATAL K6'!B:D, 3, FALSE)</f>
        <v>88</v>
      </c>
      <c r="Q14" s="2">
        <f>VLOOKUP(B14, '[1]5. KUNJUNGAN ANTENATAL K6'!B:E, 4, FALSE)</f>
        <v>87.28</v>
      </c>
      <c r="R14" s="2">
        <f>VLOOKUP(B14, '[1]6. PF'!B:C, 2, FALSE)</f>
        <v>99.7</v>
      </c>
      <c r="S14" s="2">
        <f>VLOOKUP(B14, '[1]6. PF'!B:D, 3, FALSE)</f>
        <v>88.47</v>
      </c>
      <c r="T14" s="2">
        <f>VLOOKUP(B14, '[1]6. PF'!B:E, 4, FALSE)</f>
        <v>87.27</v>
      </c>
      <c r="U14" s="9">
        <f>IFERROR(VLOOKUP(B14, [1]HPAI!A:B, 2, FALSE), 0)</f>
        <v>1750</v>
      </c>
      <c r="V14" s="9">
        <f>IFERROR(VLOOKUP(B14, [1]HPAI!A:C, 3, FALSE), 0)</f>
        <v>0</v>
      </c>
      <c r="W14" s="9">
        <f>IFERROR(VLOOKUP(B14, [1]HPAI!A:D, 4, FALSE), 0)</f>
        <v>0</v>
      </c>
      <c r="X14" s="9">
        <f>IFERROR(VLOOKUP(B14, [1]LSD!A:B, 2, FALSE), 0)</f>
        <v>120</v>
      </c>
      <c r="Y14" s="9">
        <f>IFERROR(VLOOKUP(B14, [1]LSD!A:C, 3, FALSE), 0)</f>
        <v>90</v>
      </c>
      <c r="Z14" s="9">
        <f>IFERROR(VLOOKUP(B14, [1]LSD!A:D, 4, FALSE), 0)</f>
        <v>0</v>
      </c>
      <c r="AA14" s="6">
        <f>IFERROR(VLOOKUP(B14, [1]PMK!A:B, 2, FALSE), 0)</f>
        <v>323</v>
      </c>
      <c r="AB14" s="6">
        <f>IFERROR(VLOOKUP(B14, [1]PMK!A:C, 3, FALSE), 0)</f>
        <v>164</v>
      </c>
      <c r="AC14" s="6">
        <f>IFERROR(VLOOKUP(B14, [1]PMK!A:D, 4, FALSE), 0)</f>
        <v>0</v>
      </c>
      <c r="AD14" s="6">
        <v>0</v>
      </c>
      <c r="AE14" s="6">
        <v>0</v>
      </c>
      <c r="AF14" s="6">
        <v>0</v>
      </c>
      <c r="AG14" s="6">
        <f>VLOOKUP(B14, [1]GHPR2024!B:S, 18, FALSE)</f>
        <v>23.943661971830984</v>
      </c>
      <c r="AH14" s="6">
        <f>VLOOKUP(B14, [1]GHPR2025!B:AE, 30, FALSE)</f>
        <v>15.492957746478872</v>
      </c>
      <c r="AI14" s="6">
        <f>VLOOKUP(B14, [1]Dengue2023!B:E, 4, FALSE)</f>
        <v>618</v>
      </c>
      <c r="AJ14" s="6">
        <f>VLOOKUP(B14, [1]Dengue2024!B:E, 4, FALSE)</f>
        <v>1929</v>
      </c>
      <c r="AK14" s="6">
        <f>VLOOKUP(B14, [1]Food!D:G, 4, FALSE)</f>
        <v>85.31</v>
      </c>
      <c r="AL14" s="6">
        <f>VLOOKUP(B14, [1]IRBI!E:F, 2, FALSE)</f>
        <v>133.56</v>
      </c>
      <c r="AM14" s="10">
        <f t="shared" si="4"/>
        <v>1750</v>
      </c>
      <c r="AN14" s="10">
        <f t="shared" si="5"/>
        <v>210</v>
      </c>
      <c r="AO14" s="6">
        <f t="shared" si="6"/>
        <v>487</v>
      </c>
      <c r="AP14" s="6">
        <f>VLOOKUP(B14, [1]StuntingSSGI!A:B, 2, FALSE)</f>
        <v>12.4</v>
      </c>
      <c r="AQ14" s="6">
        <f>VLOOKUP(B14, [1]StuntingSSGI!A:L, 12, FALSE)</f>
        <v>5.3000000000000007</v>
      </c>
      <c r="AR14" s="6">
        <f t="shared" si="7"/>
        <v>0</v>
      </c>
      <c r="AS14" s="6">
        <f t="shared" si="14"/>
        <v>-1.0749860882301721</v>
      </c>
      <c r="AT14" s="6">
        <f t="shared" si="8"/>
        <v>-1.1419535967456944</v>
      </c>
      <c r="AU14" s="6">
        <f t="shared" si="8"/>
        <v>-0.87060272427855701</v>
      </c>
      <c r="AV14" s="6">
        <f t="shared" si="8"/>
        <v>-0.84997922887035648</v>
      </c>
      <c r="AW14" s="6">
        <f t="shared" si="8"/>
        <v>-0.88647590382339769</v>
      </c>
      <c r="AX14" s="6">
        <f t="shared" si="8"/>
        <v>-0.6869201556982899</v>
      </c>
      <c r="AY14" s="6">
        <f t="shared" si="8"/>
        <v>0.68082889234530308</v>
      </c>
      <c r="AZ14" s="6">
        <f t="shared" si="8"/>
        <v>0.14922013406919693</v>
      </c>
      <c r="BA14" s="6">
        <f t="shared" si="8"/>
        <v>0.67354949833002775</v>
      </c>
      <c r="BB14" s="6">
        <f t="shared" si="8"/>
        <v>0.1065361708927776</v>
      </c>
      <c r="BC14" s="6">
        <f t="shared" si="8"/>
        <v>-0.34671228650672725</v>
      </c>
      <c r="BD14" s="6">
        <f t="shared" si="8"/>
        <v>-0.29456541103780964</v>
      </c>
      <c r="BE14" s="6">
        <f t="shared" si="8"/>
        <v>-1.1425377160004033</v>
      </c>
      <c r="BF14" s="6">
        <f t="shared" si="8"/>
        <v>0.10104125490421458</v>
      </c>
      <c r="BG14" s="6">
        <f t="shared" si="8"/>
        <v>0.13425765842129087</v>
      </c>
      <c r="BH14" s="6">
        <f t="shared" si="8"/>
        <v>0.54125360630982666</v>
      </c>
      <c r="BI14" s="6">
        <f t="shared" si="9"/>
        <v>3.3179823518775506E-2</v>
      </c>
      <c r="BJ14" s="6">
        <f t="shared" si="9"/>
        <v>0.16488124551509689</v>
      </c>
      <c r="BK14" s="6">
        <f t="shared" si="15"/>
        <v>2.4272880164408654</v>
      </c>
      <c r="BL14" s="6">
        <f t="shared" si="10"/>
        <v>-0.19245008972987526</v>
      </c>
      <c r="BM14" s="6">
        <f t="shared" si="10"/>
        <v>-0.34414965772374678</v>
      </c>
      <c r="BN14" s="6">
        <f t="shared" si="10"/>
        <v>1.7224724685822594</v>
      </c>
      <c r="BO14" s="6">
        <f t="shared" si="10"/>
        <v>1.6286029463383211</v>
      </c>
      <c r="BP14" s="6">
        <f t="shared" si="10"/>
        <v>-0.36769283680818904</v>
      </c>
      <c r="BQ14" s="6">
        <f t="shared" si="10"/>
        <v>0.97707803111758806</v>
      </c>
      <c r="BR14" s="6">
        <f t="shared" si="10"/>
        <v>0.60804833735210873</v>
      </c>
      <c r="BS14" s="6">
        <f t="shared" si="10"/>
        <v>-0.72739008743679756</v>
      </c>
      <c r="BT14" s="6">
        <v>0</v>
      </c>
      <c r="BU14" s="6">
        <f t="shared" si="11"/>
        <v>-0.19245008972987523</v>
      </c>
      <c r="BV14" s="6">
        <v>0</v>
      </c>
      <c r="BW14" s="6">
        <f t="shared" si="12"/>
        <v>-1.2405316197951959</v>
      </c>
      <c r="BX14" s="6">
        <f t="shared" si="12"/>
        <v>-1.5058697367937866</v>
      </c>
      <c r="BY14" s="6">
        <f t="shared" si="12"/>
        <v>-0.18491048491422282</v>
      </c>
      <c r="BZ14" s="6">
        <f t="shared" si="12"/>
        <v>-0.21023239838881672</v>
      </c>
      <c r="CA14" s="6">
        <f t="shared" si="12"/>
        <v>0.56986607753628449</v>
      </c>
      <c r="CB14" s="6">
        <f t="shared" si="12"/>
        <v>0.70285308774471678</v>
      </c>
      <c r="CC14" s="6">
        <f t="shared" si="12"/>
        <v>0.75930813110157414</v>
      </c>
      <c r="CD14" s="6">
        <f t="shared" si="12"/>
        <v>2.3943693652842795</v>
      </c>
      <c r="CE14" s="6">
        <f t="shared" si="12"/>
        <v>0.32690877246950156</v>
      </c>
      <c r="CF14" s="6">
        <f t="shared" si="12"/>
        <v>-1.1176773077597706</v>
      </c>
      <c r="CG14" s="6">
        <f t="shared" si="12"/>
        <v>0.27236203374395213</v>
      </c>
      <c r="CH14" s="6">
        <f t="shared" si="12"/>
        <v>-0.19245008972987523</v>
      </c>
      <c r="CK14" s="6">
        <f t="shared" si="16"/>
        <v>7.467942332285852</v>
      </c>
      <c r="CL14" s="6">
        <f t="shared" si="13"/>
        <v>0</v>
      </c>
      <c r="CM14" s="6">
        <f t="shared" si="13"/>
        <v>0</v>
      </c>
      <c r="CN14" s="6">
        <f t="shared" si="13"/>
        <v>4.7957905455967413</v>
      </c>
      <c r="CO14" s="6">
        <f t="shared" si="13"/>
        <v>4.5108595065168497</v>
      </c>
      <c r="CP14" s="6">
        <f t="shared" si="13"/>
        <v>0</v>
      </c>
      <c r="CQ14" s="6">
        <f t="shared" si="13"/>
        <v>5.780743515792329</v>
      </c>
      <c r="CR14" s="6">
        <f t="shared" si="13"/>
        <v>5.1059454739005803</v>
      </c>
      <c r="CS14" s="6">
        <f t="shared" si="13"/>
        <v>0</v>
      </c>
    </row>
    <row r="15" spans="1:97" x14ac:dyDescent="0.2">
      <c r="A15" s="8">
        <v>14</v>
      </c>
      <c r="B15" s="1" t="s">
        <v>67</v>
      </c>
      <c r="C15" s="2">
        <f>VLOOKUP(B15, '[1]1. persentasi stunting'!B:C, 2, FALSE)</f>
        <v>2.0299999999999998</v>
      </c>
      <c r="D15" s="2">
        <f>VLOOKUP(B15, '[1]1. persentasi stunting'!B:D, 3, FALSE)</f>
        <v>2.6</v>
      </c>
      <c r="E15" s="2">
        <f>VLOOKUP(B15, '[1]1. persentasi stunting'!B:E, 4, FALSE)</f>
        <v>3.06</v>
      </c>
      <c r="F15" s="2">
        <f>VLOOKUP(B15, '[1]2.  WASTING DAN SEVERE W'!B:C, 2, FALSE)</f>
        <v>1.35</v>
      </c>
      <c r="G15" s="2">
        <f>VLOOKUP(B15, '[1]2.  WASTING DAN SEVERE W'!B:D, 3, FALSE)</f>
        <v>1.94</v>
      </c>
      <c r="H15" s="2">
        <f>VLOOKUP(B15, '[1]2.  WASTING DAN SEVERE W'!B:E, 4, FALSE)</f>
        <v>1.84</v>
      </c>
      <c r="I15" s="2">
        <f>VLOOKUP(B15, '[1]3. IMUNISASI DASAR LENGKAP'!B:C, 2, FALSE)</f>
        <v>100.89999999999999</v>
      </c>
      <c r="J15" s="2">
        <f>VLOOKUP(B15, '[1]3. IMUNISASI DASAR LENGKAP'!B:D, 3, FALSE)</f>
        <v>88.7</v>
      </c>
      <c r="K15" s="2">
        <f>VLOOKUP(B15, '[1]3. IMUNISASI DASAR LENGKAP'!B:E, 4, FALSE)</f>
        <v>95.7</v>
      </c>
      <c r="L15" s="2">
        <f>VLOOKUP(B15, '[1]4. GIZI BURUK'!B:C, 2, FALSE)</f>
        <v>100</v>
      </c>
      <c r="M15" s="2">
        <f>VLOOKUP(B15, '[1]4. GIZI BURUK'!B:D, 3, FALSE)</f>
        <v>100</v>
      </c>
      <c r="N15" s="2">
        <f>VLOOKUP(B15, '[1]4. GIZI BURUK'!B:E, 4, FALSE)</f>
        <v>100</v>
      </c>
      <c r="O15" s="2">
        <f>VLOOKUP(B15, '[1]5. KUNJUNGAN ANTENATAL K6'!B:C, 2, FALSE)</f>
        <v>87.3</v>
      </c>
      <c r="P15" s="2">
        <f>VLOOKUP(B15, '[1]5. KUNJUNGAN ANTENATAL K6'!B:D, 3, FALSE)</f>
        <v>88.4</v>
      </c>
      <c r="Q15" s="2">
        <f>VLOOKUP(B15, '[1]5. KUNJUNGAN ANTENATAL K6'!B:E, 4, FALSE)</f>
        <v>93.3</v>
      </c>
      <c r="R15" s="2">
        <f>VLOOKUP(B15, '[1]6. PF'!B:C, 2, FALSE)</f>
        <v>97.9</v>
      </c>
      <c r="S15" s="2">
        <f>VLOOKUP(B15, '[1]6. PF'!B:D, 3, FALSE)</f>
        <v>93.38</v>
      </c>
      <c r="T15" s="2">
        <f>VLOOKUP(B15, '[1]6. PF'!B:E, 4, FALSE)</f>
        <v>93.95</v>
      </c>
      <c r="U15" s="9">
        <f>IFERROR(VLOOKUP(B15, [1]HPAI!A:B, 2, FALSE), 0)</f>
        <v>0</v>
      </c>
      <c r="V15" s="9">
        <f>IFERROR(VLOOKUP(B15, [1]HPAI!A:C, 3, FALSE), 0)</f>
        <v>0</v>
      </c>
      <c r="W15" s="9">
        <f>IFERROR(VLOOKUP(B15, [1]HPAI!A:D, 4, FALSE), 0)</f>
        <v>0</v>
      </c>
      <c r="X15" s="9">
        <f>IFERROR(VLOOKUP(B15, [1]LSD!A:B, 2, FALSE), 0)</f>
        <v>10</v>
      </c>
      <c r="Y15" s="9">
        <f>IFERROR(VLOOKUP(B15, [1]LSD!A:C, 3, FALSE), 0)</f>
        <v>5</v>
      </c>
      <c r="Z15" s="9">
        <f>IFERROR(VLOOKUP(B15, [1]LSD!A:D, 4, FALSE), 0)</f>
        <v>0</v>
      </c>
      <c r="AA15" s="6">
        <f>IFERROR(VLOOKUP(B15, [1]PMK!A:B, 2, FALSE), 0)</f>
        <v>120</v>
      </c>
      <c r="AB15" s="6">
        <f>IFERROR(VLOOKUP(B15, [1]PMK!A:C, 3, FALSE), 0)</f>
        <v>15</v>
      </c>
      <c r="AC15" s="6">
        <f>IFERROR(VLOOKUP(B15, [1]PMK!A:D, 4, FALSE), 0)</f>
        <v>0</v>
      </c>
      <c r="AD15" s="6">
        <v>0</v>
      </c>
      <c r="AE15" s="6">
        <v>0</v>
      </c>
      <c r="AF15" s="11">
        <v>0</v>
      </c>
      <c r="AG15" s="6">
        <f>VLOOKUP(B15, [1]GHPR2024!B:S, 18, FALSE)</f>
        <v>100</v>
      </c>
      <c r="AH15" s="6">
        <f>VLOOKUP(B15, [1]GHPR2025!B:AE, 30, FALSE)</f>
        <v>100</v>
      </c>
      <c r="AI15" s="6">
        <f>VLOOKUP(B15, [1]Dengue2023!B:E, 4, FALSE)</f>
        <v>424</v>
      </c>
      <c r="AJ15" s="6">
        <f>VLOOKUP(B15, [1]Dengue2024!B:E, 4, FALSE)</f>
        <v>1088</v>
      </c>
      <c r="AK15" s="6">
        <f>VLOOKUP(B15, [1]Food!D:G, 4, FALSE)</f>
        <v>80.42</v>
      </c>
      <c r="AL15" s="6">
        <f>VLOOKUP(B15, [1]IRBI!E:F, 2, FALSE)</f>
        <v>107.01</v>
      </c>
      <c r="AM15" s="10">
        <f t="shared" si="4"/>
        <v>0</v>
      </c>
      <c r="AN15" s="10">
        <f t="shared" si="5"/>
        <v>15</v>
      </c>
      <c r="AO15" s="6">
        <f t="shared" si="6"/>
        <v>135</v>
      </c>
      <c r="AP15" s="6">
        <f>VLOOKUP(B15, [1]StuntingSSGI!A:B, 2, FALSE)</f>
        <v>14.4</v>
      </c>
      <c r="AQ15" s="6">
        <f>VLOOKUP(B15, [1]StuntingSSGI!A:L, 12, FALSE)</f>
        <v>3.6</v>
      </c>
      <c r="AR15" s="6">
        <f t="shared" si="7"/>
        <v>0</v>
      </c>
      <c r="AS15" s="6">
        <f t="shared" si="14"/>
        <v>-1.0548460832068274</v>
      </c>
      <c r="AT15" s="6">
        <f t="shared" si="8"/>
        <v>-0.85736113678507253</v>
      </c>
      <c r="AU15" s="6">
        <f t="shared" si="8"/>
        <v>-1.2033751648470739</v>
      </c>
      <c r="AV15" s="6">
        <f t="shared" si="8"/>
        <v>-1.4278191853212767</v>
      </c>
      <c r="AW15" s="6">
        <f t="shared" si="8"/>
        <v>-1.1474884382097852</v>
      </c>
      <c r="AX15" s="6">
        <f t="shared" si="8"/>
        <v>-1.2673334878245837</v>
      </c>
      <c r="AY15" s="6">
        <f t="shared" si="8"/>
        <v>0.37534136189267647</v>
      </c>
      <c r="AZ15" s="6">
        <f t="shared" si="8"/>
        <v>-0.13685870284453222</v>
      </c>
      <c r="BA15" s="6">
        <f t="shared" si="8"/>
        <v>0.55750496306624042</v>
      </c>
      <c r="BB15" s="6">
        <f t="shared" si="8"/>
        <v>0.23798119806794094</v>
      </c>
      <c r="BC15" s="6">
        <f t="shared" si="8"/>
        <v>0.53982756572733592</v>
      </c>
      <c r="BD15" s="6">
        <f t="shared" si="8"/>
        <v>0.35534176841225001</v>
      </c>
      <c r="BE15" s="6">
        <f t="shared" si="8"/>
        <v>0.35723013303768192</v>
      </c>
      <c r="BF15" s="6">
        <f t="shared" si="8"/>
        <v>0.13482594694649114</v>
      </c>
      <c r="BG15" s="6">
        <f t="shared" si="8"/>
        <v>0.54960291536450279</v>
      </c>
      <c r="BH15" s="6">
        <f t="shared" si="8"/>
        <v>0.2805506799802181</v>
      </c>
      <c r="BI15" s="6">
        <f t="shared" si="9"/>
        <v>0.4549103320407093</v>
      </c>
      <c r="BJ15" s="6">
        <f t="shared" si="9"/>
        <v>0.64701453736177139</v>
      </c>
      <c r="BK15" s="6">
        <f t="shared" si="15"/>
        <v>-0.44614244817577825</v>
      </c>
      <c r="BL15" s="6">
        <f t="shared" si="10"/>
        <v>-0.19245008972987526</v>
      </c>
      <c r="BM15" s="6">
        <f t="shared" si="10"/>
        <v>-0.34414965772374678</v>
      </c>
      <c r="BN15" s="6">
        <f t="shared" si="10"/>
        <v>0.43459672400080041</v>
      </c>
      <c r="BO15" s="6">
        <f t="shared" si="10"/>
        <v>0.16218927722530108</v>
      </c>
      <c r="BP15" s="6">
        <f t="shared" si="10"/>
        <v>-0.36769283680818904</v>
      </c>
      <c r="BQ15" s="6">
        <f t="shared" si="10"/>
        <v>0.57787083024812147</v>
      </c>
      <c r="BR15" s="6">
        <f t="shared" si="10"/>
        <v>-0.6264210396133113</v>
      </c>
      <c r="BS15" s="6">
        <f t="shared" si="10"/>
        <v>-0.72739008743679756</v>
      </c>
      <c r="BT15" s="6">
        <v>0</v>
      </c>
      <c r="BU15" s="6">
        <f t="shared" si="11"/>
        <v>-0.19245008972987523</v>
      </c>
      <c r="BV15" s="6">
        <v>0</v>
      </c>
      <c r="BW15" s="6">
        <f t="shared" si="12"/>
        <v>1.1660472246137741</v>
      </c>
      <c r="BX15" s="6">
        <f t="shared" si="12"/>
        <v>1.2837757554459532</v>
      </c>
      <c r="BY15" s="6">
        <f t="shared" si="12"/>
        <v>-0.55151196863136864</v>
      </c>
      <c r="BZ15" s="6">
        <f t="shared" si="12"/>
        <v>-0.72134022175229195</v>
      </c>
      <c r="CA15" s="6">
        <f t="shared" si="12"/>
        <v>-0.32297144729005289</v>
      </c>
      <c r="CB15" s="6">
        <f t="shared" si="12"/>
        <v>-0.2587107810094359</v>
      </c>
      <c r="CC15" s="6">
        <f t="shared" si="12"/>
        <v>-0.28275841728929912</v>
      </c>
      <c r="CD15" s="6">
        <f t="shared" si="12"/>
        <v>-0.44810069293933524</v>
      </c>
      <c r="CE15" s="6">
        <f t="shared" si="12"/>
        <v>-0.46750211312245521</v>
      </c>
      <c r="CF15" s="6">
        <f t="shared" si="12"/>
        <v>-0.70710197021536525</v>
      </c>
      <c r="CG15" s="6">
        <f t="shared" si="12"/>
        <v>-0.72775135416384074</v>
      </c>
      <c r="CH15" s="6">
        <f t="shared" si="12"/>
        <v>-0.19245008972987523</v>
      </c>
      <c r="CK15" s="6">
        <f t="shared" si="16"/>
        <v>0</v>
      </c>
      <c r="CL15" s="6">
        <f t="shared" si="13"/>
        <v>0</v>
      </c>
      <c r="CM15" s="6">
        <f t="shared" si="13"/>
        <v>0</v>
      </c>
      <c r="CN15" s="6">
        <f t="shared" si="13"/>
        <v>2.3978952727983707</v>
      </c>
      <c r="CO15" s="6">
        <f t="shared" si="13"/>
        <v>1.791759469228055</v>
      </c>
      <c r="CP15" s="6">
        <f t="shared" si="13"/>
        <v>0</v>
      </c>
      <c r="CQ15" s="6">
        <f t="shared" si="13"/>
        <v>4.7957905455967413</v>
      </c>
      <c r="CR15" s="6">
        <f t="shared" si="13"/>
        <v>2.7725887222397811</v>
      </c>
      <c r="CS15" s="6">
        <f t="shared" si="13"/>
        <v>0</v>
      </c>
    </row>
    <row r="16" spans="1:97" x14ac:dyDescent="0.2">
      <c r="A16" s="8">
        <v>15</v>
      </c>
      <c r="B16" s="1" t="s">
        <v>68</v>
      </c>
      <c r="C16" s="2">
        <f>VLOOKUP(B16, '[1]1. persentasi stunting'!B:C, 2, FALSE)</f>
        <v>1.49</v>
      </c>
      <c r="D16" s="2">
        <f>VLOOKUP(B16, '[1]1. persentasi stunting'!B:D, 3, FALSE)</f>
        <v>1.9</v>
      </c>
      <c r="E16" s="2">
        <f>VLOOKUP(B16, '[1]1. persentasi stunting'!B:E, 4, FALSE)</f>
        <v>2.34</v>
      </c>
      <c r="F16" s="2">
        <f>VLOOKUP(B16, '[1]2.  WASTING DAN SEVERE W'!B:C, 2, FALSE)</f>
        <v>1.48</v>
      </c>
      <c r="G16" s="2">
        <f>VLOOKUP(B16, '[1]2.  WASTING DAN SEVERE W'!B:D, 3, FALSE)</f>
        <v>1.82</v>
      </c>
      <c r="H16" s="2">
        <f>VLOOKUP(B16, '[1]2.  WASTING DAN SEVERE W'!B:E, 4, FALSE)</f>
        <v>2.0699999999999998</v>
      </c>
      <c r="I16" s="2">
        <f>VLOOKUP(B16, '[1]3. IMUNISASI DASAR LENGKAP'!B:C, 2, FALSE)</f>
        <v>99.6</v>
      </c>
      <c r="J16" s="2">
        <f>VLOOKUP(B16, '[1]3. IMUNISASI DASAR LENGKAP'!B:D, 3, FALSE)</f>
        <v>90.7</v>
      </c>
      <c r="K16" s="2">
        <f>VLOOKUP(B16, '[1]3. IMUNISASI DASAR LENGKAP'!B:E, 4, FALSE)</f>
        <v>93.600000000000009</v>
      </c>
      <c r="L16" s="2">
        <f>VLOOKUP(B16, '[1]4. GIZI BURUK'!B:C, 2, FALSE)</f>
        <v>100</v>
      </c>
      <c r="M16" s="2">
        <f>VLOOKUP(B16, '[1]4. GIZI BURUK'!B:D, 3, FALSE)</f>
        <v>98.36</v>
      </c>
      <c r="N16" s="2">
        <f>VLOOKUP(B16, '[1]4. GIZI BURUK'!B:E, 4, FALSE)</f>
        <v>95.6</v>
      </c>
      <c r="O16" s="2">
        <f>VLOOKUP(B16, '[1]5. KUNJUNGAN ANTENATAL K6'!B:C, 2, FALSE)</f>
        <v>75.099999999999994</v>
      </c>
      <c r="P16" s="2">
        <f>VLOOKUP(B16, '[1]5. KUNJUNGAN ANTENATAL K6'!B:D, 3, FALSE)</f>
        <v>80.8</v>
      </c>
      <c r="Q16" s="2">
        <f>VLOOKUP(B16, '[1]5. KUNJUNGAN ANTENATAL K6'!B:E, 4, FALSE)</f>
        <v>82.71</v>
      </c>
      <c r="R16" s="2">
        <f>VLOOKUP(B16, '[1]6. PF'!B:C, 2, FALSE)</f>
        <v>91.7</v>
      </c>
      <c r="S16" s="2">
        <f>VLOOKUP(B16, '[1]6. PF'!B:D, 3, FALSE)</f>
        <v>83.44</v>
      </c>
      <c r="T16" s="2">
        <f>VLOOKUP(B16, '[1]6. PF'!B:E, 4, FALSE)</f>
        <v>82.79</v>
      </c>
      <c r="U16" s="9">
        <f>IFERROR(VLOOKUP(B16, [1]HPAI!A:B, 2, FALSE), 0)</f>
        <v>8444</v>
      </c>
      <c r="V16" s="9">
        <f>IFERROR(VLOOKUP(B16, [1]HPAI!A:C, 3, FALSE), 0)</f>
        <v>0</v>
      </c>
      <c r="W16" s="9">
        <f>IFERROR(VLOOKUP(B16, [1]HPAI!A:D, 4, FALSE), 0)</f>
        <v>0</v>
      </c>
      <c r="X16" s="9">
        <f>IFERROR(VLOOKUP(B16, [1]LSD!A:B, 2, FALSE), 0)</f>
        <v>94</v>
      </c>
      <c r="Y16" s="9">
        <f>IFERROR(VLOOKUP(B16, [1]LSD!A:C, 3, FALSE), 0)</f>
        <v>44</v>
      </c>
      <c r="Z16" s="9">
        <f>IFERROR(VLOOKUP(B16, [1]LSD!A:D, 4, FALSE), 0)</f>
        <v>0</v>
      </c>
      <c r="AA16" s="6">
        <f>IFERROR(VLOOKUP(B16, [1]PMK!A:B, 2, FALSE), 0)</f>
        <v>490</v>
      </c>
      <c r="AB16" s="6">
        <f>IFERROR(VLOOKUP(B16, [1]PMK!A:C, 3, FALSE), 0)</f>
        <v>98</v>
      </c>
      <c r="AC16" s="6">
        <f>IFERROR(VLOOKUP(B16, [1]PMK!A:D, 4, FALSE), 0)</f>
        <v>0</v>
      </c>
      <c r="AD16" s="6">
        <v>0</v>
      </c>
      <c r="AE16" s="6">
        <v>0</v>
      </c>
      <c r="AF16" s="6">
        <v>0</v>
      </c>
      <c r="AG16" s="6">
        <f>VLOOKUP(B16, [1]GHPR2024!B:S, 18, FALSE)</f>
        <v>96.103896103896105</v>
      </c>
      <c r="AH16" s="6">
        <f>VLOOKUP(B16, [1]GHPR2025!B:AE, 30, FALSE)</f>
        <v>97.014925373134332</v>
      </c>
      <c r="AI16" s="6">
        <f>VLOOKUP(B16, [1]Dengue2023!B:E, 4, FALSE)</f>
        <v>991</v>
      </c>
      <c r="AJ16" s="6">
        <f>VLOOKUP(B16, [1]Dengue2024!B:E, 4, FALSE)</f>
        <v>3279</v>
      </c>
      <c r="AK16" s="6">
        <f>VLOOKUP(B16, [1]Food!D:G, 4, FALSE)</f>
        <v>88.48</v>
      </c>
      <c r="AL16" s="6">
        <f>VLOOKUP(B16, [1]IRBI!E:F, 2, FALSE)</f>
        <v>142.06</v>
      </c>
      <c r="AM16" s="10">
        <f t="shared" si="4"/>
        <v>8444</v>
      </c>
      <c r="AN16" s="10">
        <f t="shared" si="5"/>
        <v>138</v>
      </c>
      <c r="AO16" s="6">
        <f t="shared" si="6"/>
        <v>588</v>
      </c>
      <c r="AP16" s="6">
        <f>VLOOKUP(B16, [1]StuntingSSGI!A:B, 2, FALSE)</f>
        <v>17.600000000000001</v>
      </c>
      <c r="AQ16" s="6">
        <f>VLOOKUP(B16, [1]StuntingSSGI!A:L, 12, FALSE)</f>
        <v>8</v>
      </c>
      <c r="AR16" s="6">
        <f t="shared" si="7"/>
        <v>0</v>
      </c>
      <c r="AS16" s="6">
        <f t="shared" si="14"/>
        <v>-1.2102118362440586</v>
      </c>
      <c r="AT16" s="6">
        <f t="shared" si="8"/>
        <v>-1.0565758587575078</v>
      </c>
      <c r="AU16" s="6">
        <f t="shared" si="8"/>
        <v>-1.3769955686219524</v>
      </c>
      <c r="AV16" s="6">
        <f t="shared" si="8"/>
        <v>-1.3424564644819363</v>
      </c>
      <c r="AW16" s="6">
        <f t="shared" si="8"/>
        <v>-1.2257921985257014</v>
      </c>
      <c r="AX16" s="6">
        <f t="shared" si="8"/>
        <v>-1.1156345487461208</v>
      </c>
      <c r="AY16" s="6">
        <f t="shared" si="8"/>
        <v>0.20267449685423658</v>
      </c>
      <c r="AZ16" s="6">
        <f t="shared" si="8"/>
        <v>2.2073984329761369E-2</v>
      </c>
      <c r="BA16" s="6">
        <f t="shared" si="8"/>
        <v>0.38343816017055887</v>
      </c>
      <c r="BB16" s="6">
        <f t="shared" si="8"/>
        <v>0.23798119806794094</v>
      </c>
      <c r="BC16" s="6">
        <f t="shared" si="8"/>
        <v>0.40407356407804879</v>
      </c>
      <c r="BD16" s="6">
        <f t="shared" si="8"/>
        <v>-0.11967344580374134</v>
      </c>
      <c r="BE16" s="6">
        <f t="shared" si="8"/>
        <v>-0.73840865488235652</v>
      </c>
      <c r="BF16" s="6">
        <f t="shared" si="8"/>
        <v>-0.50708320185675515</v>
      </c>
      <c r="BG16" s="6">
        <f t="shared" si="8"/>
        <v>-0.18104596686616473</v>
      </c>
      <c r="BH16" s="6">
        <f t="shared" si="8"/>
        <v>-0.61742606626621332</v>
      </c>
      <c r="BI16" s="6">
        <f t="shared" si="9"/>
        <v>-0.39885774427457049</v>
      </c>
      <c r="BJ16" s="6">
        <f t="shared" si="9"/>
        <v>-0.15846563284913881</v>
      </c>
      <c r="BK16" s="6">
        <f t="shared" si="15"/>
        <v>3.0326782786091866</v>
      </c>
      <c r="BL16" s="6">
        <f t="shared" si="10"/>
        <v>-0.19245008972987526</v>
      </c>
      <c r="BM16" s="6">
        <f t="shared" si="10"/>
        <v>-0.34414965772374678</v>
      </c>
      <c r="BN16" s="6">
        <f t="shared" si="10"/>
        <v>1.5925440556115</v>
      </c>
      <c r="BO16" s="6">
        <f t="shared" si="10"/>
        <v>1.2488287133404914</v>
      </c>
      <c r="BP16" s="6">
        <f t="shared" si="10"/>
        <v>-0.36769283680818904</v>
      </c>
      <c r="BQ16" s="6">
        <f t="shared" si="10"/>
        <v>1.145563921042023</v>
      </c>
      <c r="BR16" s="6">
        <f t="shared" si="10"/>
        <v>0.33779451137391786</v>
      </c>
      <c r="BS16" s="6">
        <f t="shared" si="10"/>
        <v>-0.72739008743679756</v>
      </c>
      <c r="BT16" s="6">
        <v>0</v>
      </c>
      <c r="BU16" s="6">
        <f t="shared" si="11"/>
        <v>-0.19245008972987523</v>
      </c>
      <c r="BV16" s="6">
        <v>0</v>
      </c>
      <c r="BW16" s="6">
        <f t="shared" si="12"/>
        <v>1.0427664901599236</v>
      </c>
      <c r="BX16" s="6">
        <f t="shared" si="12"/>
        <v>1.1852360390534054</v>
      </c>
      <c r="BY16" s="6">
        <f t="shared" si="12"/>
        <v>0.51994700697492868</v>
      </c>
      <c r="BZ16" s="6">
        <f t="shared" si="12"/>
        <v>0.61021416705790343</v>
      </c>
      <c r="CA16" s="6">
        <f t="shared" si="12"/>
        <v>1.14865850160571</v>
      </c>
      <c r="CB16" s="6">
        <f t="shared" si="12"/>
        <v>1.010698394125519</v>
      </c>
      <c r="CC16" s="6">
        <f t="shared" si="12"/>
        <v>4.7453615453464337</v>
      </c>
      <c r="CD16" s="6">
        <f t="shared" si="12"/>
        <v>1.3448419591709448</v>
      </c>
      <c r="CE16" s="6">
        <f t="shared" si="12"/>
        <v>0.55485053225583003</v>
      </c>
      <c r="CF16" s="6">
        <f t="shared" si="12"/>
        <v>-5.0181430144316745E-2</v>
      </c>
      <c r="CG16" s="6">
        <f t="shared" si="12"/>
        <v>1.8607774145386811</v>
      </c>
      <c r="CH16" s="6">
        <f t="shared" si="12"/>
        <v>-0.19245008972987523</v>
      </c>
      <c r="CK16" s="6">
        <f t="shared" si="16"/>
        <v>9.0413298292419011</v>
      </c>
      <c r="CL16" s="6">
        <f t="shared" si="13"/>
        <v>0</v>
      </c>
      <c r="CM16" s="6">
        <f t="shared" si="13"/>
        <v>0</v>
      </c>
      <c r="CN16" s="6">
        <f t="shared" si="13"/>
        <v>4.5538768916005408</v>
      </c>
      <c r="CO16" s="6">
        <f t="shared" si="13"/>
        <v>3.8066624897703196</v>
      </c>
      <c r="CP16" s="6">
        <f t="shared" si="13"/>
        <v>0</v>
      </c>
      <c r="CQ16" s="6">
        <f t="shared" si="13"/>
        <v>6.1964441277945204</v>
      </c>
      <c r="CR16" s="6">
        <f t="shared" si="13"/>
        <v>4.5951198501345898</v>
      </c>
      <c r="CS16" s="6">
        <f t="shared" si="13"/>
        <v>0</v>
      </c>
    </row>
    <row r="17" spans="1:97" x14ac:dyDescent="0.2">
      <c r="A17" s="8">
        <v>16</v>
      </c>
      <c r="B17" s="1" t="s">
        <v>69</v>
      </c>
      <c r="C17" s="2">
        <f>VLOOKUP(B17, '[1]1. persentasi stunting'!B:C, 2, FALSE)</f>
        <v>1.36</v>
      </c>
      <c r="D17" s="2">
        <f>VLOOKUP(B17, '[1]1. persentasi stunting'!B:D, 3, FALSE)</f>
        <v>1.61</v>
      </c>
      <c r="E17" s="2">
        <f>VLOOKUP(B17, '[1]1. persentasi stunting'!B:E, 4, FALSE)</f>
        <v>2.4700000000000002</v>
      </c>
      <c r="F17" s="2">
        <f>VLOOKUP(B17, '[1]2.  WASTING DAN SEVERE W'!B:C, 2, FALSE)</f>
        <v>1.52</v>
      </c>
      <c r="G17" s="2">
        <f>VLOOKUP(B17, '[1]2.  WASTING DAN SEVERE W'!B:D, 3, FALSE)</f>
        <v>1.89</v>
      </c>
      <c r="H17" s="2">
        <f>VLOOKUP(B17, '[1]2.  WASTING DAN SEVERE W'!B:E, 4, FALSE)</f>
        <v>1.61</v>
      </c>
      <c r="I17" s="2">
        <f>VLOOKUP(B17, '[1]3. IMUNISASI DASAR LENGKAP'!B:C, 2, FALSE)</f>
        <v>97</v>
      </c>
      <c r="J17" s="2">
        <f>VLOOKUP(B17, '[1]3. IMUNISASI DASAR LENGKAP'!B:D, 3, FALSE)</f>
        <v>113.99999999999999</v>
      </c>
      <c r="K17" s="2">
        <f>VLOOKUP(B17, '[1]3. IMUNISASI DASAR LENGKAP'!B:E, 4, FALSE)</f>
        <v>107.2</v>
      </c>
      <c r="L17" s="2">
        <f>VLOOKUP(B17, '[1]4. GIZI BURUK'!B:C, 2, FALSE)</f>
        <v>99.76</v>
      </c>
      <c r="M17" s="2">
        <f>VLOOKUP(B17, '[1]4. GIZI BURUK'!B:D, 3, FALSE)</f>
        <v>96.81</v>
      </c>
      <c r="N17" s="2">
        <f>VLOOKUP(B17, '[1]4. GIZI BURUK'!B:E, 4, FALSE)</f>
        <v>100</v>
      </c>
      <c r="O17" s="2">
        <f>VLOOKUP(B17, '[1]5. KUNJUNGAN ANTENATAL K6'!B:C, 2, FALSE)</f>
        <v>91.4</v>
      </c>
      <c r="P17" s="2">
        <f>VLOOKUP(B17, '[1]5. KUNJUNGAN ANTENATAL K6'!B:D, 3, FALSE)</f>
        <v>100.5</v>
      </c>
      <c r="Q17" s="2">
        <f>VLOOKUP(B17, '[1]5. KUNJUNGAN ANTENATAL K6'!B:E, 4, FALSE)</f>
        <v>100.29</v>
      </c>
      <c r="R17" s="2">
        <f>VLOOKUP(B17, '[1]6. PF'!B:C, 2, FALSE)</f>
        <v>100</v>
      </c>
      <c r="S17" s="2">
        <f>VLOOKUP(B17, '[1]6. PF'!B:D, 3, FALSE)</f>
        <v>100.38</v>
      </c>
      <c r="T17" s="2">
        <f>VLOOKUP(B17, '[1]6. PF'!B:E, 4, FALSE)</f>
        <v>99.99</v>
      </c>
      <c r="U17" s="9">
        <f>IFERROR(VLOOKUP(B17, [1]HPAI!A:B, 2, FALSE), 0)</f>
        <v>57</v>
      </c>
      <c r="V17" s="9">
        <f>IFERROR(VLOOKUP(B17, [1]HPAI!A:C, 3, FALSE), 0)</f>
        <v>0</v>
      </c>
      <c r="W17" s="9">
        <f>IFERROR(VLOOKUP(B17, [1]HPAI!A:D, 4, FALSE), 0)</f>
        <v>104</v>
      </c>
      <c r="X17" s="9">
        <f>IFERROR(VLOOKUP(B17, [1]LSD!A:B, 2, FALSE), 0)</f>
        <v>44</v>
      </c>
      <c r="Y17" s="9">
        <f>IFERROR(VLOOKUP(B17, [1]LSD!A:C, 3, FALSE), 0)</f>
        <v>33</v>
      </c>
      <c r="Z17" s="9">
        <f>IFERROR(VLOOKUP(B17, [1]LSD!A:D, 4, FALSE), 0)</f>
        <v>0</v>
      </c>
      <c r="AA17" s="6">
        <f>IFERROR(VLOOKUP(B17, [1]PMK!A:B, 2, FALSE), 0)</f>
        <v>127</v>
      </c>
      <c r="AB17" s="6">
        <f>IFERROR(VLOOKUP(B17, [1]PMK!A:C, 3, FALSE), 0)</f>
        <v>382</v>
      </c>
      <c r="AC17" s="6">
        <f>IFERROR(VLOOKUP(B17, [1]PMK!A:D, 4, FALSE), 0)</f>
        <v>44</v>
      </c>
      <c r="AD17" s="6">
        <v>0</v>
      </c>
      <c r="AE17" s="6">
        <v>0</v>
      </c>
      <c r="AF17" s="6">
        <v>0</v>
      </c>
      <c r="AG17" s="6">
        <f>VLOOKUP(B17, [1]GHPR2024!B:S, 18, FALSE)</f>
        <v>100</v>
      </c>
      <c r="AH17" s="6">
        <f>VLOOKUP(B17, [1]GHPR2025!B:AE, 30, FALSE)</f>
        <v>87.878787878787875</v>
      </c>
      <c r="AI17" s="6">
        <f>VLOOKUP(B17, [1]Dengue2023!B:E, 4, FALSE)</f>
        <v>726</v>
      </c>
      <c r="AJ17" s="6">
        <f>VLOOKUP(B17, [1]Dengue2024!B:E, 4, FALSE)</f>
        <v>1902</v>
      </c>
      <c r="AK17" s="6">
        <f>VLOOKUP(B17, [1]Food!D:G, 4, FALSE)</f>
        <v>88.05</v>
      </c>
      <c r="AL17" s="6">
        <f>VLOOKUP(B17, [1]IRBI!E:F, 2, FALSE)</f>
        <v>106.39</v>
      </c>
      <c r="AM17" s="10">
        <f t="shared" si="4"/>
        <v>161</v>
      </c>
      <c r="AN17" s="10">
        <f t="shared" si="5"/>
        <v>77</v>
      </c>
      <c r="AO17" s="6">
        <f t="shared" si="6"/>
        <v>553</v>
      </c>
      <c r="AP17" s="6">
        <f>VLOOKUP(B17, [1]StuntingSSGI!A:B, 2, FALSE)</f>
        <v>18.2</v>
      </c>
      <c r="AQ17" s="6">
        <f>VLOOKUP(B17, [1]StuntingSSGI!A:L, 12, FALSE)</f>
        <v>5.5</v>
      </c>
      <c r="AR17" s="6">
        <f t="shared" si="7"/>
        <v>0</v>
      </c>
      <c r="AS17" s="6">
        <f t="shared" si="14"/>
        <v>-1.2476147027159847</v>
      </c>
      <c r="AT17" s="6">
        <f t="shared" si="8"/>
        <v>-1.139107672146088</v>
      </c>
      <c r="AU17" s="6">
        <f t="shared" si="8"/>
        <v>-1.3456474401625991</v>
      </c>
      <c r="AV17" s="6">
        <f t="shared" si="8"/>
        <v>-1.3161910119159854</v>
      </c>
      <c r="AW17" s="6">
        <f t="shared" si="8"/>
        <v>-1.1801150050080835</v>
      </c>
      <c r="AX17" s="6">
        <f t="shared" si="8"/>
        <v>-1.4190324269030465</v>
      </c>
      <c r="AY17" s="6">
        <f t="shared" si="8"/>
        <v>-0.14265923322264326</v>
      </c>
      <c r="AZ17" s="6">
        <f t="shared" si="8"/>
        <v>1.8736397899102804</v>
      </c>
      <c r="BA17" s="6">
        <f t="shared" si="8"/>
        <v>1.5107279313044992</v>
      </c>
      <c r="BB17" s="6">
        <f t="shared" si="8"/>
        <v>0.20735323057081617</v>
      </c>
      <c r="BC17" s="6">
        <f t="shared" si="8"/>
        <v>0.27576947715341799</v>
      </c>
      <c r="BD17" s="6">
        <f t="shared" si="8"/>
        <v>0.35534176841225001</v>
      </c>
      <c r="BE17" s="6">
        <f t="shared" si="8"/>
        <v>0.72543661094523648</v>
      </c>
      <c r="BF17" s="6">
        <f t="shared" si="8"/>
        <v>1.1568128812253422</v>
      </c>
      <c r="BG17" s="6">
        <f t="shared" si="8"/>
        <v>1.0318725741739805</v>
      </c>
      <c r="BH17" s="6">
        <f t="shared" si="8"/>
        <v>0.58470409403142776</v>
      </c>
      <c r="BI17" s="6">
        <f t="shared" si="9"/>
        <v>1.0561554562063995</v>
      </c>
      <c r="BJ17" s="6">
        <f t="shared" si="9"/>
        <v>1.0829554180135539</v>
      </c>
      <c r="BK17" s="6">
        <f t="shared" si="15"/>
        <v>1.1161889313666962</v>
      </c>
      <c r="BL17" s="6">
        <f t="shared" si="10"/>
        <v>-0.19245008972987526</v>
      </c>
      <c r="BM17" s="6">
        <f t="shared" si="10"/>
        <v>2.5350181751041463</v>
      </c>
      <c r="BN17" s="6">
        <f t="shared" si="10"/>
        <v>1.1912257349010011</v>
      </c>
      <c r="BO17" s="6">
        <f t="shared" si="10"/>
        <v>1.097661552314984</v>
      </c>
      <c r="BP17" s="6">
        <f t="shared" si="10"/>
        <v>-0.36769283680818904</v>
      </c>
      <c r="BQ17" s="6">
        <f t="shared" si="10"/>
        <v>0.6006651170909787</v>
      </c>
      <c r="BR17" s="6">
        <f t="shared" si="10"/>
        <v>1.0535583171428082</v>
      </c>
      <c r="BS17" s="6">
        <f t="shared" si="10"/>
        <v>1.1711218671918528</v>
      </c>
      <c r="BT17" s="6">
        <v>0</v>
      </c>
      <c r="BU17" s="6">
        <f t="shared" si="11"/>
        <v>-0.19245008972987523</v>
      </c>
      <c r="BV17" s="6">
        <v>0</v>
      </c>
      <c r="BW17" s="6">
        <f t="shared" si="12"/>
        <v>1.1660472246137741</v>
      </c>
      <c r="BX17" s="6">
        <f t="shared" si="12"/>
        <v>0.88364478585197026</v>
      </c>
      <c r="BY17" s="6">
        <f t="shared" si="12"/>
        <v>1.9176939010786178E-2</v>
      </c>
      <c r="BZ17" s="6">
        <f t="shared" si="12"/>
        <v>-0.22664132969775114</v>
      </c>
      <c r="CA17" s="6">
        <f t="shared" si="12"/>
        <v>1.0701472264164809</v>
      </c>
      <c r="CB17" s="6">
        <f t="shared" si="12"/>
        <v>-0.28116537982780043</v>
      </c>
      <c r="CC17" s="6">
        <f t="shared" si="12"/>
        <v>-0.18688829483733882</v>
      </c>
      <c r="CD17" s="6">
        <f t="shared" si="12"/>
        <v>0.45565901788048063</v>
      </c>
      <c r="CE17" s="6">
        <f t="shared" si="12"/>
        <v>0.47586081351799348</v>
      </c>
      <c r="CF17" s="6">
        <f t="shared" si="12"/>
        <v>7.2991171119004383E-2</v>
      </c>
      <c r="CG17" s="6">
        <f t="shared" si="12"/>
        <v>0.39002243232133904</v>
      </c>
      <c r="CH17" s="6">
        <f t="shared" si="12"/>
        <v>-0.19245008972987523</v>
      </c>
      <c r="CK17" s="6">
        <f t="shared" si="16"/>
        <v>4.0604430105464191</v>
      </c>
      <c r="CL17" s="6">
        <f t="shared" si="13"/>
        <v>0</v>
      </c>
      <c r="CM17" s="6">
        <f t="shared" si="13"/>
        <v>4.6539603501575231</v>
      </c>
      <c r="CN17" s="6">
        <f t="shared" si="13"/>
        <v>3.8066624897703196</v>
      </c>
      <c r="CO17" s="6">
        <f t="shared" si="13"/>
        <v>3.5263605246161616</v>
      </c>
      <c r="CP17" s="6">
        <f t="shared" si="13"/>
        <v>0</v>
      </c>
      <c r="CQ17" s="6">
        <f t="shared" si="13"/>
        <v>4.8520302639196169</v>
      </c>
      <c r="CR17" s="6">
        <f t="shared" si="13"/>
        <v>5.9480349891806457</v>
      </c>
      <c r="CS17" s="6">
        <f t="shared" si="13"/>
        <v>3.8066624897703196</v>
      </c>
    </row>
    <row r="18" spans="1:97" x14ac:dyDescent="0.2">
      <c r="A18" s="8">
        <v>17</v>
      </c>
      <c r="B18" s="1" t="s">
        <v>70</v>
      </c>
      <c r="C18" s="2">
        <f>VLOOKUP(B18, '[1]1. persentasi stunting'!B:C, 2, FALSE)</f>
        <v>5.0199999999999996</v>
      </c>
      <c r="D18" s="2">
        <f>VLOOKUP(B18, '[1]1. persentasi stunting'!B:D, 3, FALSE)</f>
        <v>4.9400000000000004</v>
      </c>
      <c r="E18" s="2">
        <f>VLOOKUP(B18, '[1]1. persentasi stunting'!B:E, 4, FALSE)</f>
        <v>9.51</v>
      </c>
      <c r="F18" s="2">
        <f>VLOOKUP(B18, '[1]2.  WASTING DAN SEVERE W'!B:C, 2, FALSE)</f>
        <v>3.01</v>
      </c>
      <c r="G18" s="2">
        <f>VLOOKUP(B18, '[1]2.  WASTING DAN SEVERE W'!B:D, 3, FALSE)</f>
        <v>3.35</v>
      </c>
      <c r="H18" s="2">
        <f>VLOOKUP(B18, '[1]2.  WASTING DAN SEVERE W'!B:E, 4, FALSE)</f>
        <v>3.66</v>
      </c>
      <c r="I18" s="2">
        <f>VLOOKUP(B18, '[1]3. IMUNISASI DASAR LENGKAP'!B:C, 2, FALSE)</f>
        <v>99.7</v>
      </c>
      <c r="J18" s="2">
        <f>VLOOKUP(B18, '[1]3. IMUNISASI DASAR LENGKAP'!B:D, 3, FALSE)</f>
        <v>81.8</v>
      </c>
      <c r="K18" s="2">
        <f>VLOOKUP(B18, '[1]3. IMUNISASI DASAR LENGKAP'!B:E, 4, FALSE)</f>
        <v>88.1</v>
      </c>
      <c r="L18" s="2">
        <f>VLOOKUP(B18, '[1]4. GIZI BURUK'!B:C, 2, FALSE)</f>
        <v>100</v>
      </c>
      <c r="M18" s="2">
        <f>VLOOKUP(B18, '[1]4. GIZI BURUK'!B:D, 3, FALSE)</f>
        <v>98.8</v>
      </c>
      <c r="N18" s="2">
        <f>VLOOKUP(B18, '[1]4. GIZI BURUK'!B:E, 4, FALSE)</f>
        <v>100</v>
      </c>
      <c r="O18" s="2">
        <f>VLOOKUP(B18, '[1]5. KUNJUNGAN ANTENATAL K6'!B:C, 2, FALSE)</f>
        <v>94.7</v>
      </c>
      <c r="P18" s="2">
        <f>VLOOKUP(B18, '[1]5. KUNJUNGAN ANTENATAL K6'!B:D, 3, FALSE)</f>
        <v>89.1</v>
      </c>
      <c r="Q18" s="2">
        <f>VLOOKUP(B18, '[1]5. KUNJUNGAN ANTENATAL K6'!B:E, 4, FALSE)</f>
        <v>84.73</v>
      </c>
      <c r="R18" s="2">
        <f>VLOOKUP(B18, '[1]6. PF'!B:C, 2, FALSE)</f>
        <v>95.6</v>
      </c>
      <c r="S18" s="2">
        <f>VLOOKUP(B18, '[1]6. PF'!B:D, 3, FALSE)</f>
        <v>87.96</v>
      </c>
      <c r="T18" s="2">
        <f>VLOOKUP(B18, '[1]6. PF'!B:E, 4, FALSE)</f>
        <v>84.42</v>
      </c>
      <c r="U18" s="9">
        <f>IFERROR(VLOOKUP(B18, [1]HPAI!A:B, 2, FALSE), 0)</f>
        <v>0</v>
      </c>
      <c r="V18" s="9">
        <f>IFERROR(VLOOKUP(B18, [1]HPAI!A:C, 3, FALSE), 0)</f>
        <v>0</v>
      </c>
      <c r="W18" s="9">
        <f>IFERROR(VLOOKUP(B18, [1]HPAI!A:D, 4, FALSE), 0)</f>
        <v>0</v>
      </c>
      <c r="X18" s="9">
        <f>IFERROR(VLOOKUP(B18, [1]LSD!A:B, 2, FALSE), 0)</f>
        <v>0</v>
      </c>
      <c r="Y18" s="9">
        <f>IFERROR(VLOOKUP(B18, [1]LSD!A:C, 3, FALSE), 0)</f>
        <v>0</v>
      </c>
      <c r="Z18" s="9">
        <f>IFERROR(VLOOKUP(B18, [1]LSD!A:D, 4, FALSE), 0)</f>
        <v>0</v>
      </c>
      <c r="AA18" s="6">
        <f>IFERROR(VLOOKUP(B18, [1]PMK!A:B, 2, FALSE), 0)</f>
        <v>141</v>
      </c>
      <c r="AB18" s="6">
        <f>IFERROR(VLOOKUP(B18, [1]PMK!A:C, 3, FALSE), 0)</f>
        <v>121</v>
      </c>
      <c r="AC18" s="6">
        <f>IFERROR(VLOOKUP(B18, [1]PMK!A:D, 4, FALSE), 0)</f>
        <v>0</v>
      </c>
      <c r="AD18" s="6">
        <v>0</v>
      </c>
      <c r="AE18" s="6">
        <v>0</v>
      </c>
      <c r="AF18" s="6">
        <v>0</v>
      </c>
      <c r="AG18" s="6">
        <f>VLOOKUP(B18, [1]GHPR2024!B:S, 18, FALSE)</f>
        <v>88</v>
      </c>
      <c r="AH18" s="6">
        <f>VLOOKUP(B18, [1]GHPR2025!B:AE, 30, FALSE)</f>
        <v>61.904761904761905</v>
      </c>
      <c r="AI18" s="6">
        <f>VLOOKUP(B18, [1]Dengue2023!B:E, 4, FALSE)</f>
        <v>1322</v>
      </c>
      <c r="AJ18" s="6">
        <f>VLOOKUP(B18, [1]Dengue2024!B:E, 4, FALSE)</f>
        <v>3754</v>
      </c>
      <c r="AK18" s="6">
        <f>VLOOKUP(B18, [1]Food!D:G, 4, FALSE)</f>
        <v>74.19</v>
      </c>
      <c r="AL18" s="6">
        <f>VLOOKUP(B18, [1]IRBI!E:F, 2, FALSE)</f>
        <v>108.28</v>
      </c>
      <c r="AM18" s="10">
        <f t="shared" si="4"/>
        <v>0</v>
      </c>
      <c r="AN18" s="10">
        <f t="shared" si="5"/>
        <v>0</v>
      </c>
      <c r="AO18" s="6">
        <f t="shared" si="6"/>
        <v>262</v>
      </c>
      <c r="AP18" s="6">
        <f>VLOOKUP(B18, [1]StuntingSSGI!A:B, 2, FALSE)</f>
        <v>30.8</v>
      </c>
      <c r="AQ18" s="6">
        <f>VLOOKUP(B18, [1]StuntingSSGI!A:L, 12, FALSE)</f>
        <v>4.5</v>
      </c>
      <c r="AR18" s="6">
        <f t="shared" si="7"/>
        <v>0</v>
      </c>
      <c r="AS18" s="6">
        <f t="shared" si="14"/>
        <v>-0.19458015435252707</v>
      </c>
      <c r="AT18" s="6">
        <f t="shared" si="14"/>
        <v>-0.19141478047721766</v>
      </c>
      <c r="AU18" s="6">
        <f t="shared" si="14"/>
        <v>0.35197428563621141</v>
      </c>
      <c r="AV18" s="6">
        <f t="shared" si="14"/>
        <v>-0.33780290383431361</v>
      </c>
      <c r="AW18" s="6">
        <f t="shared" si="14"/>
        <v>-0.22741925449776895</v>
      </c>
      <c r="AX18" s="6">
        <f t="shared" si="14"/>
        <v>-6.6933187290658155E-2</v>
      </c>
      <c r="AY18" s="6">
        <f t="shared" si="14"/>
        <v>0.21595656339565619</v>
      </c>
      <c r="AZ18" s="6">
        <f t="shared" si="14"/>
        <v>-0.68517647359584555</v>
      </c>
      <c r="BA18" s="6">
        <f t="shared" si="14"/>
        <v>-7.2451085508609514E-2</v>
      </c>
      <c r="BB18" s="6">
        <f t="shared" si="14"/>
        <v>0.23798119806794094</v>
      </c>
      <c r="BC18" s="6">
        <f t="shared" si="14"/>
        <v>0.44049536939858908</v>
      </c>
      <c r="BD18" s="6">
        <f t="shared" si="14"/>
        <v>0.35534176841225001</v>
      </c>
      <c r="BE18" s="6">
        <f t="shared" si="14"/>
        <v>1.0217979224318039</v>
      </c>
      <c r="BF18" s="6">
        <f t="shared" si="14"/>
        <v>0.19394915802047333</v>
      </c>
      <c r="BG18" s="6">
        <f t="shared" si="14"/>
        <v>-4.1677624835385181E-2</v>
      </c>
      <c r="BH18" s="6">
        <f t="shared" si="14"/>
        <v>-5.2569725885395081E-2</v>
      </c>
      <c r="BI18" s="6">
        <f t="shared" si="9"/>
        <v>-1.0625178384725214E-2</v>
      </c>
      <c r="BJ18" s="6">
        <f t="shared" si="9"/>
        <v>-4.0819335587151326E-2</v>
      </c>
      <c r="BK18" s="6">
        <f t="shared" si="15"/>
        <v>-0.44614244817577825</v>
      </c>
      <c r="BL18" s="6">
        <f t="shared" si="15"/>
        <v>-0.19245008972987526</v>
      </c>
      <c r="BM18" s="6">
        <f t="shared" si="15"/>
        <v>-0.34414965772374678</v>
      </c>
      <c r="BN18" s="6">
        <f t="shared" si="15"/>
        <v>-0.85327902058065852</v>
      </c>
      <c r="BO18" s="6">
        <f t="shared" si="15"/>
        <v>-0.80410859391096701</v>
      </c>
      <c r="BP18" s="6">
        <f t="shared" si="15"/>
        <v>-0.36769283680818904</v>
      </c>
      <c r="BQ18" s="6">
        <f t="shared" si="15"/>
        <v>0.64273456478922397</v>
      </c>
      <c r="BR18" s="6">
        <f t="shared" si="15"/>
        <v>0.4483143139544693</v>
      </c>
      <c r="BS18" s="6">
        <f t="shared" si="15"/>
        <v>-0.72739008743679756</v>
      </c>
      <c r="BT18" s="6">
        <v>0</v>
      </c>
      <c r="BU18" s="6">
        <f t="shared" si="11"/>
        <v>-0.19245008972987523</v>
      </c>
      <c r="BV18" s="6">
        <v>0</v>
      </c>
      <c r="BW18" s="6">
        <f t="shared" si="12"/>
        <v>0.78634256249591439</v>
      </c>
      <c r="BX18" s="6">
        <f t="shared" si="12"/>
        <v>2.6221279579149957E-2</v>
      </c>
      <c r="BY18" s="6">
        <f t="shared" si="12"/>
        <v>1.1454371673376877</v>
      </c>
      <c r="BZ18" s="6">
        <f t="shared" si="12"/>
        <v>0.89888981045582339</v>
      </c>
      <c r="CA18" s="6">
        <f t="shared" si="12"/>
        <v>-1.460472015729334</v>
      </c>
      <c r="CB18" s="6">
        <f t="shared" si="12"/>
        <v>-0.21271507052665736</v>
      </c>
      <c r="CC18" s="6">
        <f t="shared" si="12"/>
        <v>-0.28275841728929912</v>
      </c>
      <c r="CD18" s="6">
        <f t="shared" si="12"/>
        <v>-0.6667522358796133</v>
      </c>
      <c r="CE18" s="6">
        <f t="shared" si="12"/>
        <v>-0.18088227655944808</v>
      </c>
      <c r="CF18" s="6">
        <f t="shared" si="12"/>
        <v>2.6596157976487573</v>
      </c>
      <c r="CG18" s="6">
        <f t="shared" si="12"/>
        <v>-0.19827956056559773</v>
      </c>
      <c r="CH18" s="6">
        <f t="shared" si="12"/>
        <v>-0.19245008972987523</v>
      </c>
      <c r="CK18" s="6">
        <f t="shared" si="16"/>
        <v>0</v>
      </c>
      <c r="CL18" s="6">
        <f t="shared" si="16"/>
        <v>0</v>
      </c>
      <c r="CM18" s="6">
        <f t="shared" si="16"/>
        <v>0</v>
      </c>
      <c r="CN18" s="6">
        <f t="shared" si="16"/>
        <v>0</v>
      </c>
      <c r="CO18" s="6">
        <f t="shared" si="16"/>
        <v>0</v>
      </c>
      <c r="CP18" s="6">
        <f t="shared" si="16"/>
        <v>0</v>
      </c>
      <c r="CQ18" s="6">
        <f t="shared" si="16"/>
        <v>4.9558270576012609</v>
      </c>
      <c r="CR18" s="6">
        <f t="shared" si="16"/>
        <v>4.8040210447332568</v>
      </c>
      <c r="CS18" s="6">
        <f t="shared" si="16"/>
        <v>0</v>
      </c>
    </row>
    <row r="19" spans="1:97" x14ac:dyDescent="0.2">
      <c r="A19" s="8">
        <v>18</v>
      </c>
      <c r="B19" s="1" t="s">
        <v>71</v>
      </c>
      <c r="C19" s="2">
        <f>VLOOKUP(B19, '[1]1. persentasi stunting'!B:C, 2, FALSE)</f>
        <v>1.9</v>
      </c>
      <c r="D19" s="2">
        <f>VLOOKUP(B19, '[1]1. persentasi stunting'!B:D, 3, FALSE)</f>
        <v>1.94</v>
      </c>
      <c r="E19" s="2">
        <f>VLOOKUP(B19, '[1]1. persentasi stunting'!B:E, 4, FALSE)</f>
        <v>2.31</v>
      </c>
      <c r="F19" s="2">
        <f>VLOOKUP(B19, '[1]2.  WASTING DAN SEVERE W'!B:C, 2, FALSE)</f>
        <v>1.53</v>
      </c>
      <c r="G19" s="2">
        <f>VLOOKUP(B19, '[1]2.  WASTING DAN SEVERE W'!B:D, 3, FALSE)</f>
        <v>1.77</v>
      </c>
      <c r="H19" s="2">
        <f>VLOOKUP(B19, '[1]2.  WASTING DAN SEVERE W'!B:E, 4, FALSE)</f>
        <v>2.17</v>
      </c>
      <c r="I19" s="2">
        <f>VLOOKUP(B19, '[1]3. IMUNISASI DASAR LENGKAP'!B:C, 2, FALSE)</f>
        <v>102.60000000000001</v>
      </c>
      <c r="J19" s="2">
        <f>VLOOKUP(B19, '[1]3. IMUNISASI DASAR LENGKAP'!B:D, 3, FALSE)</f>
        <v>78.900000000000006</v>
      </c>
      <c r="K19" s="2">
        <f>VLOOKUP(B19, '[1]3. IMUNISASI DASAR LENGKAP'!B:E, 4, FALSE)</f>
        <v>68.8</v>
      </c>
      <c r="L19" s="2">
        <f>VLOOKUP(B19, '[1]4. GIZI BURUK'!B:C, 2, FALSE)</f>
        <v>100</v>
      </c>
      <c r="M19" s="2">
        <f>VLOOKUP(B19, '[1]4. GIZI BURUK'!B:D, 3, FALSE)</f>
        <v>100</v>
      </c>
      <c r="N19" s="2">
        <f>VLOOKUP(B19, '[1]4. GIZI BURUK'!B:E, 4, FALSE)</f>
        <v>100</v>
      </c>
      <c r="O19" s="2">
        <f>VLOOKUP(B19, '[1]5. KUNJUNGAN ANTENATAL K6'!B:C, 2, FALSE)</f>
        <v>92</v>
      </c>
      <c r="P19" s="2">
        <f>VLOOKUP(B19, '[1]5. KUNJUNGAN ANTENATAL K6'!B:D, 3, FALSE)</f>
        <v>70.099999999999994</v>
      </c>
      <c r="Q19" s="2">
        <f>VLOOKUP(B19, '[1]5. KUNJUNGAN ANTENATAL K6'!B:E, 4, FALSE)</f>
        <v>70.09</v>
      </c>
      <c r="R19" s="2">
        <f>VLOOKUP(B19, '[1]6. PF'!B:C, 2, FALSE)</f>
        <v>96.8</v>
      </c>
      <c r="S19" s="2">
        <f>VLOOKUP(B19, '[1]6. PF'!B:D, 3, FALSE)</f>
        <v>73.09</v>
      </c>
      <c r="T19" s="2">
        <f>VLOOKUP(B19, '[1]6. PF'!B:E, 4, FALSE)</f>
        <v>63.29</v>
      </c>
      <c r="U19" s="9">
        <f>IFERROR(VLOOKUP(B19, [1]HPAI!A:B, 2, FALSE), 0)</f>
        <v>0</v>
      </c>
      <c r="V19" s="9">
        <f>IFERROR(VLOOKUP(B19, [1]HPAI!A:C, 3, FALSE), 0)</f>
        <v>0</v>
      </c>
      <c r="W19" s="9">
        <f>IFERROR(VLOOKUP(B19, [1]HPAI!A:D, 4, FALSE), 0)</f>
        <v>0</v>
      </c>
      <c r="X19" s="9">
        <f>IFERROR(VLOOKUP(B19, [1]LSD!A:B, 2, FALSE), 0)</f>
        <v>0</v>
      </c>
      <c r="Y19" s="9">
        <f>IFERROR(VLOOKUP(B19, [1]LSD!A:C, 3, FALSE), 0)</f>
        <v>0</v>
      </c>
      <c r="Z19" s="9">
        <f>IFERROR(VLOOKUP(B19, [1]LSD!A:D, 4, FALSE), 0)</f>
        <v>0</v>
      </c>
      <c r="AA19" s="6">
        <f>IFERROR(VLOOKUP(B19, [1]PMK!A:B, 2, FALSE), 0)</f>
        <v>0</v>
      </c>
      <c r="AB19" s="6">
        <f>IFERROR(VLOOKUP(B19, [1]PMK!A:C, 3, FALSE), 0)</f>
        <v>44</v>
      </c>
      <c r="AC19" s="6">
        <f>IFERROR(VLOOKUP(B19, [1]PMK!A:D, 4, FALSE), 0)</f>
        <v>0</v>
      </c>
      <c r="AD19" s="6">
        <v>0</v>
      </c>
      <c r="AE19" s="6">
        <v>0</v>
      </c>
      <c r="AF19" s="6">
        <v>0</v>
      </c>
      <c r="AG19" s="6">
        <f>VLOOKUP(B19, [1]GHPR2024!B:S, 18, FALSE)</f>
        <v>69.7841726618705</v>
      </c>
      <c r="AH19" s="6">
        <f>VLOOKUP(B19, [1]GHPR2025!B:AE, 30, FALSE)</f>
        <v>78.5</v>
      </c>
      <c r="AI19" s="6">
        <f>VLOOKUP(B19, [1]Dengue2023!B:E, 4, FALSE)</f>
        <v>253</v>
      </c>
      <c r="AJ19" s="6">
        <f>VLOOKUP(B19, [1]Dengue2024!B:E, 4, FALSE)</f>
        <v>890</v>
      </c>
      <c r="AK19" s="6">
        <f>VLOOKUP(B19, [1]Food!D:G, 4, FALSE)</f>
        <v>83.57</v>
      </c>
      <c r="AL19" s="6">
        <f>VLOOKUP(B19, [1]IRBI!E:F, 2, FALSE)</f>
        <v>133.13</v>
      </c>
      <c r="AM19" s="10">
        <f t="shared" si="4"/>
        <v>0</v>
      </c>
      <c r="AN19" s="10">
        <f t="shared" si="5"/>
        <v>0</v>
      </c>
      <c r="AO19" s="6">
        <f t="shared" si="6"/>
        <v>44</v>
      </c>
      <c r="AP19" s="6">
        <f>VLOOKUP(B19, [1]StuntingSSGI!A:B, 2, FALSE)</f>
        <v>17.3</v>
      </c>
      <c r="AQ19" s="6">
        <f>VLOOKUP(B19, [1]StuntingSSGI!A:L, 12, FALSE)</f>
        <v>6.4</v>
      </c>
      <c r="AR19" s="6">
        <f t="shared" si="7"/>
        <v>0</v>
      </c>
      <c r="AS19" s="6">
        <f t="shared" si="14"/>
        <v>-1.0922489496787533</v>
      </c>
      <c r="AT19" s="6">
        <f t="shared" si="14"/>
        <v>-1.0451921603590828</v>
      </c>
      <c r="AU19" s="6">
        <f t="shared" si="14"/>
        <v>-1.3842297521125722</v>
      </c>
      <c r="AV19" s="6">
        <f t="shared" si="14"/>
        <v>-1.3096246487744978</v>
      </c>
      <c r="AW19" s="6">
        <f t="shared" si="14"/>
        <v>-1.2584187653239998</v>
      </c>
      <c r="AX19" s="6">
        <f t="shared" si="14"/>
        <v>-1.0496784882772237</v>
      </c>
      <c r="AY19" s="6">
        <f t="shared" si="14"/>
        <v>0.60113649309679296</v>
      </c>
      <c r="AZ19" s="6">
        <f t="shared" si="14"/>
        <v>-0.91562886999857063</v>
      </c>
      <c r="BA19" s="6">
        <f t="shared" si="14"/>
        <v>-1.672207893073687</v>
      </c>
      <c r="BB19" s="6">
        <f t="shared" si="14"/>
        <v>0.23798119806794094</v>
      </c>
      <c r="BC19" s="6">
        <f t="shared" si="14"/>
        <v>0.53982756572733592</v>
      </c>
      <c r="BD19" s="6">
        <f t="shared" si="14"/>
        <v>0.35534176841225001</v>
      </c>
      <c r="BE19" s="6">
        <f t="shared" si="14"/>
        <v>0.77932048576097557</v>
      </c>
      <c r="BF19" s="6">
        <f t="shared" si="14"/>
        <v>-1.4108237139876405</v>
      </c>
      <c r="BG19" s="6">
        <f t="shared" si="14"/>
        <v>-1.0517531334148911</v>
      </c>
      <c r="BH19" s="6">
        <f t="shared" si="14"/>
        <v>0.12123222500101134</v>
      </c>
      <c r="BI19" s="6">
        <f t="shared" si="9"/>
        <v>-1.2878416064338405</v>
      </c>
      <c r="BJ19" s="6">
        <f t="shared" si="9"/>
        <v>-1.565890661443472</v>
      </c>
      <c r="BK19" s="6">
        <f t="shared" si="15"/>
        <v>-0.44614244817577825</v>
      </c>
      <c r="BL19" s="6">
        <f t="shared" si="15"/>
        <v>-0.19245008972987526</v>
      </c>
      <c r="BM19" s="6">
        <f t="shared" si="15"/>
        <v>-0.34414965772374678</v>
      </c>
      <c r="BN19" s="6">
        <f t="shared" si="15"/>
        <v>-0.85327902058065852</v>
      </c>
      <c r="BO19" s="6">
        <f t="shared" si="15"/>
        <v>-0.80410859391096701</v>
      </c>
      <c r="BP19" s="6">
        <f t="shared" si="15"/>
        <v>-0.36769283680818904</v>
      </c>
      <c r="BQ19" s="6">
        <f t="shared" si="15"/>
        <v>-1.3658911336187942</v>
      </c>
      <c r="BR19" s="6">
        <f t="shared" si="15"/>
        <v>-7.9341216251059138E-2</v>
      </c>
      <c r="BS19" s="6">
        <f t="shared" si="15"/>
        <v>-0.72739008743679756</v>
      </c>
      <c r="BT19" s="6">
        <v>0</v>
      </c>
      <c r="BU19" s="6">
        <f t="shared" si="11"/>
        <v>-0.19245008972987523</v>
      </c>
      <c r="BV19" s="6">
        <v>0</v>
      </c>
      <c r="BW19" s="6">
        <f t="shared" si="12"/>
        <v>0.20995634877743663</v>
      </c>
      <c r="BX19" s="6">
        <f t="shared" si="12"/>
        <v>0.57404344812862618</v>
      </c>
      <c r="BY19" s="6">
        <f t="shared" si="12"/>
        <v>-0.87465038984596621</v>
      </c>
      <c r="BZ19" s="6">
        <f t="shared" si="12"/>
        <v>-0.84167238468447758</v>
      </c>
      <c r="CA19" s="6">
        <f t="shared" si="12"/>
        <v>0.25216928956126711</v>
      </c>
      <c r="CB19" s="6">
        <f t="shared" si="12"/>
        <v>0.68727973695133482</v>
      </c>
      <c r="CC19" s="6">
        <f t="shared" si="12"/>
        <v>-0.28275841728929912</v>
      </c>
      <c r="CD19" s="6">
        <f t="shared" si="12"/>
        <v>-0.6667522358796133</v>
      </c>
      <c r="CE19" s="6">
        <f t="shared" si="12"/>
        <v>-0.6728753818408304</v>
      </c>
      <c r="CF19" s="6">
        <f t="shared" si="12"/>
        <v>-0.11176773077597767</v>
      </c>
      <c r="CG19" s="6">
        <f t="shared" si="12"/>
        <v>0.91949422591958241</v>
      </c>
      <c r="CH19" s="6">
        <f t="shared" si="12"/>
        <v>-0.19245008972987523</v>
      </c>
      <c r="CK19" s="6">
        <f t="shared" si="16"/>
        <v>0</v>
      </c>
      <c r="CL19" s="6">
        <f t="shared" si="16"/>
        <v>0</v>
      </c>
      <c r="CM19" s="6">
        <f t="shared" si="16"/>
        <v>0</v>
      </c>
      <c r="CN19" s="6">
        <f t="shared" si="16"/>
        <v>0</v>
      </c>
      <c r="CO19" s="6">
        <f t="shared" si="16"/>
        <v>0</v>
      </c>
      <c r="CP19" s="6">
        <f t="shared" si="16"/>
        <v>0</v>
      </c>
      <c r="CQ19" s="6">
        <f t="shared" si="16"/>
        <v>0</v>
      </c>
      <c r="CR19" s="6">
        <f t="shared" si="16"/>
        <v>3.8066624897703196</v>
      </c>
      <c r="CS19" s="6">
        <f t="shared" si="16"/>
        <v>0</v>
      </c>
    </row>
    <row r="20" spans="1:97" x14ac:dyDescent="0.2">
      <c r="A20" s="8">
        <v>19</v>
      </c>
      <c r="B20" s="1" t="s">
        <v>72</v>
      </c>
      <c r="C20" s="2">
        <f>VLOOKUP(B20, '[1]1. persentasi stunting'!B:C, 2, FALSE)</f>
        <v>2.52</v>
      </c>
      <c r="D20" s="2">
        <f>VLOOKUP(B20, '[1]1. persentasi stunting'!B:D, 3, FALSE)</f>
        <v>2.33</v>
      </c>
      <c r="E20" s="2">
        <f>VLOOKUP(B20, '[1]1. persentasi stunting'!B:E, 4, FALSE)</f>
        <v>7.44</v>
      </c>
      <c r="F20" s="2">
        <f>VLOOKUP(B20, '[1]2.  WASTING DAN SEVERE W'!B:C, 2, FALSE)</f>
        <v>2.34</v>
      </c>
      <c r="G20" s="2">
        <f>VLOOKUP(B20, '[1]2.  WASTING DAN SEVERE W'!B:D, 3, FALSE)</f>
        <v>1.99</v>
      </c>
      <c r="H20" s="2">
        <f>VLOOKUP(B20, '[1]2.  WASTING DAN SEVERE W'!B:E, 4, FALSE)</f>
        <v>2.19</v>
      </c>
      <c r="I20" s="2">
        <f>VLOOKUP(B20, '[1]3. IMUNISASI DASAR LENGKAP'!B:C, 2, FALSE)</f>
        <v>96.899999999999991</v>
      </c>
      <c r="J20" s="2">
        <f>VLOOKUP(B20, '[1]3. IMUNISASI DASAR LENGKAP'!B:D, 3, FALSE)</f>
        <v>101.89999999999999</v>
      </c>
      <c r="K20" s="2">
        <f>VLOOKUP(B20, '[1]3. IMUNISASI DASAR LENGKAP'!B:E, 4, FALSE)</f>
        <v>97.399999999999991</v>
      </c>
      <c r="L20" s="2">
        <f>VLOOKUP(B20, '[1]4. GIZI BURUK'!B:C, 2, FALSE)</f>
        <v>100</v>
      </c>
      <c r="M20" s="2">
        <f>VLOOKUP(B20, '[1]4. GIZI BURUK'!B:D, 3, FALSE)</f>
        <v>100</v>
      </c>
      <c r="N20" s="2">
        <f>VLOOKUP(B20, '[1]4. GIZI BURUK'!B:E, 4, FALSE)</f>
        <v>100</v>
      </c>
      <c r="O20" s="2">
        <f>VLOOKUP(B20, '[1]5. KUNJUNGAN ANTENATAL K6'!B:C, 2, FALSE)</f>
        <v>98.6</v>
      </c>
      <c r="P20" s="2">
        <f>VLOOKUP(B20, '[1]5. KUNJUNGAN ANTENATAL K6'!B:D, 3, FALSE)</f>
        <v>100.8</v>
      </c>
      <c r="Q20" s="2">
        <f>VLOOKUP(B20, '[1]5. KUNJUNGAN ANTENATAL K6'!B:E, 4, FALSE)</f>
        <v>100.42</v>
      </c>
      <c r="R20" s="2">
        <f>VLOOKUP(B20, '[1]6. PF'!B:C, 2, FALSE)</f>
        <v>99.2</v>
      </c>
      <c r="S20" s="2">
        <f>VLOOKUP(B20, '[1]6. PF'!B:D, 3, FALSE)</f>
        <v>100.66</v>
      </c>
      <c r="T20" s="2">
        <f>VLOOKUP(B20, '[1]6. PF'!B:E, 4, FALSE)</f>
        <v>100.21</v>
      </c>
      <c r="U20" s="9">
        <f>IFERROR(VLOOKUP(B20, [1]HPAI!A:B, 2, FALSE), 0)</f>
        <v>0</v>
      </c>
      <c r="V20" s="9">
        <f>IFERROR(VLOOKUP(B20, [1]HPAI!A:C, 3, FALSE), 0)</f>
        <v>0</v>
      </c>
      <c r="W20" s="9">
        <f>IFERROR(VLOOKUP(B20, [1]HPAI!A:D, 4, FALSE), 0)</f>
        <v>0</v>
      </c>
      <c r="X20" s="9">
        <f>IFERROR(VLOOKUP(B20, [1]LSD!A:B, 2, FALSE), 0)</f>
        <v>0</v>
      </c>
      <c r="Y20" s="9">
        <f>IFERROR(VLOOKUP(B20, [1]LSD!A:C, 3, FALSE), 0)</f>
        <v>0</v>
      </c>
      <c r="Z20" s="9">
        <f>IFERROR(VLOOKUP(B20, [1]LSD!A:D, 4, FALSE), 0)</f>
        <v>0</v>
      </c>
      <c r="AA20" s="6">
        <f>IFERROR(VLOOKUP(B20, [1]PMK!A:B, 2, FALSE), 0)</f>
        <v>0</v>
      </c>
      <c r="AB20" s="6">
        <f>IFERROR(VLOOKUP(B20, [1]PMK!A:C, 3, FALSE), 0)</f>
        <v>13</v>
      </c>
      <c r="AC20" s="6">
        <f>IFERROR(VLOOKUP(B20, [1]PMK!A:D, 4, FALSE), 0)</f>
        <v>0</v>
      </c>
      <c r="AD20" s="6">
        <v>0</v>
      </c>
      <c r="AE20" s="6">
        <v>0</v>
      </c>
      <c r="AF20" s="6">
        <v>0</v>
      </c>
      <c r="AG20" s="6">
        <f>VLOOKUP(B20, [1]GHPR2024!B:S, 18, FALSE)</f>
        <v>73.478260869565219</v>
      </c>
      <c r="AH20" s="6">
        <f>VLOOKUP(B20, [1]GHPR2025!B:AE, 30, FALSE)</f>
        <v>81.5</v>
      </c>
      <c r="AI20" s="6">
        <f>VLOOKUP(B20, [1]Dengue2023!B:E, 4, FALSE)</f>
        <v>1474</v>
      </c>
      <c r="AJ20" s="6">
        <f>VLOOKUP(B20, [1]Dengue2024!B:E, 4, FALSE)</f>
        <v>3117</v>
      </c>
      <c r="AK20" s="6">
        <f>VLOOKUP(B20, [1]Food!D:G, 4, FALSE)</f>
        <v>83.78</v>
      </c>
      <c r="AL20" s="6">
        <f>VLOOKUP(B20, [1]IRBI!E:F, 2, FALSE)</f>
        <v>58.03</v>
      </c>
      <c r="AM20" s="10">
        <f t="shared" si="4"/>
        <v>0</v>
      </c>
      <c r="AN20" s="10">
        <f t="shared" si="5"/>
        <v>0</v>
      </c>
      <c r="AO20" s="6">
        <f t="shared" si="6"/>
        <v>13</v>
      </c>
      <c r="AP20" s="6">
        <f>VLOOKUP(B20, [1]StuntingSSGI!A:B, 2, FALSE)</f>
        <v>21.1</v>
      </c>
      <c r="AQ20" s="6">
        <f>VLOOKUP(B20, [1]StuntingSSGI!A:L, 12, FALSE)</f>
        <v>4.5</v>
      </c>
      <c r="AR20" s="6">
        <f t="shared" si="7"/>
        <v>0</v>
      </c>
      <c r="AS20" s="6">
        <f t="shared" si="14"/>
        <v>-0.91386604804341343</v>
      </c>
      <c r="AT20" s="6">
        <f t="shared" si="14"/>
        <v>-0.93420110097444031</v>
      </c>
      <c r="AU20" s="6">
        <f t="shared" si="14"/>
        <v>-0.1471843752165638</v>
      </c>
      <c r="AV20" s="6">
        <f t="shared" si="14"/>
        <v>-0.77774923431399157</v>
      </c>
      <c r="AW20" s="6">
        <f t="shared" si="14"/>
        <v>-1.1148618714114866</v>
      </c>
      <c r="AX20" s="6">
        <f t="shared" si="14"/>
        <v>-1.0364872761834443</v>
      </c>
      <c r="AY20" s="6">
        <f t="shared" si="14"/>
        <v>-0.15594129976406287</v>
      </c>
      <c r="AZ20" s="6">
        <f t="shared" si="14"/>
        <v>0.91209703250580454</v>
      </c>
      <c r="BA20" s="6">
        <f t="shared" si="14"/>
        <v>0.69841618445798204</v>
      </c>
      <c r="BB20" s="6">
        <f t="shared" si="14"/>
        <v>0.23798119806794094</v>
      </c>
      <c r="BC20" s="6">
        <f t="shared" si="14"/>
        <v>0.53982756572733592</v>
      </c>
      <c r="BD20" s="6">
        <f t="shared" si="14"/>
        <v>0.35534176841225001</v>
      </c>
      <c r="BE20" s="6">
        <f t="shared" si="14"/>
        <v>1.3720431087341105</v>
      </c>
      <c r="BF20" s="6">
        <f t="shared" si="14"/>
        <v>1.182151400257049</v>
      </c>
      <c r="BG20" s="6">
        <f t="shared" si="14"/>
        <v>1.0408418239086343</v>
      </c>
      <c r="BH20" s="6">
        <f t="shared" si="14"/>
        <v>0.46883612677382419</v>
      </c>
      <c r="BI20" s="6">
        <f t="shared" si="9"/>
        <v>1.0802052611730271</v>
      </c>
      <c r="BJ20" s="6">
        <f t="shared" si="9"/>
        <v>1.0988340593617976</v>
      </c>
      <c r="BK20" s="6">
        <f t="shared" si="15"/>
        <v>-0.44614244817577825</v>
      </c>
      <c r="BL20" s="6">
        <f t="shared" si="15"/>
        <v>-0.19245008972987526</v>
      </c>
      <c r="BM20" s="6">
        <f t="shared" si="15"/>
        <v>-0.34414965772374678</v>
      </c>
      <c r="BN20" s="6">
        <f t="shared" si="15"/>
        <v>-0.85327902058065852</v>
      </c>
      <c r="BO20" s="6">
        <f t="shared" si="15"/>
        <v>-0.80410859391096701</v>
      </c>
      <c r="BP20" s="6">
        <f t="shared" si="15"/>
        <v>-0.36769283680818904</v>
      </c>
      <c r="BQ20" s="6">
        <f t="shared" si="15"/>
        <v>-1.3658911336187942</v>
      </c>
      <c r="BR20" s="6">
        <f t="shared" si="15"/>
        <v>-0.69706622275609131</v>
      </c>
      <c r="BS20" s="6">
        <f t="shared" si="15"/>
        <v>-0.72739008743679756</v>
      </c>
      <c r="BT20" s="6">
        <v>0</v>
      </c>
      <c r="BU20" s="6">
        <f t="shared" si="11"/>
        <v>-0.19245008972987523</v>
      </c>
      <c r="BV20" s="6">
        <v>0</v>
      </c>
      <c r="BW20" s="6">
        <f t="shared" si="12"/>
        <v>0.32684489167212771</v>
      </c>
      <c r="BX20" s="6">
        <f t="shared" si="12"/>
        <v>0.67307586310313694</v>
      </c>
      <c r="BY20" s="6">
        <f t="shared" si="12"/>
        <v>1.4326713195284413</v>
      </c>
      <c r="BZ20" s="6">
        <f t="shared" si="12"/>
        <v>0.51176057920429696</v>
      </c>
      <c r="CA20" s="6">
        <f t="shared" si="12"/>
        <v>0.29051200535135668</v>
      </c>
      <c r="CB20" s="6">
        <f t="shared" si="12"/>
        <v>-2.0326240876602233</v>
      </c>
      <c r="CC20" s="6">
        <f t="shared" si="12"/>
        <v>-0.28275841728929912</v>
      </c>
      <c r="CD20" s="6">
        <f t="shared" si="12"/>
        <v>-0.6667522358796133</v>
      </c>
      <c r="CE20" s="6">
        <f t="shared" si="12"/>
        <v>-0.74283770415148564</v>
      </c>
      <c r="CF20" s="6">
        <f t="shared" si="12"/>
        <v>0.66832541055839234</v>
      </c>
      <c r="CG20" s="6">
        <f t="shared" si="12"/>
        <v>-0.19827956056559773</v>
      </c>
      <c r="CH20" s="6">
        <f t="shared" si="12"/>
        <v>-0.19245008972987523</v>
      </c>
      <c r="CK20" s="6">
        <f t="shared" si="16"/>
        <v>0</v>
      </c>
      <c r="CL20" s="6">
        <f t="shared" si="16"/>
        <v>0</v>
      </c>
      <c r="CM20" s="6">
        <f t="shared" si="16"/>
        <v>0</v>
      </c>
      <c r="CN20" s="6">
        <f t="shared" si="16"/>
        <v>0</v>
      </c>
      <c r="CO20" s="6">
        <f t="shared" si="16"/>
        <v>0</v>
      </c>
      <c r="CP20" s="6">
        <f t="shared" si="16"/>
        <v>0</v>
      </c>
      <c r="CQ20" s="6">
        <f t="shared" si="16"/>
        <v>0</v>
      </c>
      <c r="CR20" s="6">
        <f t="shared" si="16"/>
        <v>2.6390573296152584</v>
      </c>
      <c r="CS20" s="6">
        <f t="shared" si="16"/>
        <v>0</v>
      </c>
    </row>
    <row r="21" spans="1:97" x14ac:dyDescent="0.2">
      <c r="A21" s="8">
        <v>20</v>
      </c>
      <c r="B21" s="1" t="s">
        <v>73</v>
      </c>
      <c r="C21" s="2">
        <f>VLOOKUP(B21, '[1]1. persentasi stunting'!B:C, 2, FALSE)</f>
        <v>5.47</v>
      </c>
      <c r="D21" s="2">
        <f>VLOOKUP(B21, '[1]1. persentasi stunting'!B:D, 3, FALSE)</f>
        <v>5.85</v>
      </c>
      <c r="E21" s="2">
        <f>VLOOKUP(B21, '[1]1. persentasi stunting'!B:E, 4, FALSE)</f>
        <v>7.74</v>
      </c>
      <c r="F21" s="2">
        <f>VLOOKUP(B21, '[1]2.  WASTING DAN SEVERE W'!B:C, 2, FALSE)</f>
        <v>4.58</v>
      </c>
      <c r="G21" s="2">
        <f>VLOOKUP(B21, '[1]2.  WASTING DAN SEVERE W'!B:D, 3, FALSE)</f>
        <v>5.46</v>
      </c>
      <c r="H21" s="2">
        <f>VLOOKUP(B21, '[1]2.  WASTING DAN SEVERE W'!B:E, 4, FALSE)</f>
        <v>4.45</v>
      </c>
      <c r="I21" s="2">
        <f>VLOOKUP(B21, '[1]3. IMUNISASI DASAR LENGKAP'!B:C, 2, FALSE)</f>
        <v>96.899999999999991</v>
      </c>
      <c r="J21" s="2">
        <f>VLOOKUP(B21, '[1]3. IMUNISASI DASAR LENGKAP'!B:D, 3, FALSE)</f>
        <v>97.399999999999991</v>
      </c>
      <c r="K21" s="2">
        <f>VLOOKUP(B21, '[1]3. IMUNISASI DASAR LENGKAP'!B:E, 4, FALSE)</f>
        <v>99.2</v>
      </c>
      <c r="L21" s="2">
        <f>VLOOKUP(B21, '[1]4. GIZI BURUK'!B:C, 2, FALSE)</f>
        <v>97.3</v>
      </c>
      <c r="M21" s="2">
        <f>VLOOKUP(B21, '[1]4. GIZI BURUK'!B:D, 3, FALSE)</f>
        <v>100</v>
      </c>
      <c r="N21" s="2">
        <f>VLOOKUP(B21, '[1]4. GIZI BURUK'!B:E, 4, FALSE)</f>
        <v>100</v>
      </c>
      <c r="O21" s="2">
        <f>VLOOKUP(B21, '[1]5. KUNJUNGAN ANTENATAL K6'!B:C, 2, FALSE)</f>
        <v>73.400000000000006</v>
      </c>
      <c r="P21" s="2">
        <f>VLOOKUP(B21, '[1]5. KUNJUNGAN ANTENATAL K6'!B:D, 3, FALSE)</f>
        <v>100</v>
      </c>
      <c r="Q21" s="2">
        <f>VLOOKUP(B21, '[1]5. KUNJUNGAN ANTENATAL K6'!B:E, 4, FALSE)</f>
        <v>100.74</v>
      </c>
      <c r="R21" s="2">
        <f>VLOOKUP(B21, '[1]6. PF'!B:C, 2, FALSE)</f>
        <v>100</v>
      </c>
      <c r="S21" s="2">
        <f>VLOOKUP(B21, '[1]6. PF'!B:D, 3, FALSE)</f>
        <v>100.02</v>
      </c>
      <c r="T21" s="2">
        <f>VLOOKUP(B21, '[1]6. PF'!B:E, 4, FALSE)</f>
        <v>100</v>
      </c>
      <c r="U21" s="9">
        <f>IFERROR(VLOOKUP(B21, [1]HPAI!A:B, 2, FALSE), 0)</f>
        <v>0</v>
      </c>
      <c r="V21" s="9">
        <f>IFERROR(VLOOKUP(B21, [1]HPAI!A:C, 3, FALSE), 0)</f>
        <v>0</v>
      </c>
      <c r="W21" s="9">
        <f>IFERROR(VLOOKUP(B21, [1]HPAI!A:D, 4, FALSE), 0)</f>
        <v>0</v>
      </c>
      <c r="X21" s="9">
        <f>IFERROR(VLOOKUP(B21, [1]LSD!A:B, 2, FALSE), 0)</f>
        <v>0</v>
      </c>
      <c r="Y21" s="9">
        <f>IFERROR(VLOOKUP(B21, [1]LSD!A:C, 3, FALSE), 0)</f>
        <v>0</v>
      </c>
      <c r="Z21" s="9">
        <f>IFERROR(VLOOKUP(B21, [1]LSD!A:D, 4, FALSE), 0)</f>
        <v>0</v>
      </c>
      <c r="AA21" s="6">
        <f>IFERROR(VLOOKUP(B21, [1]PMK!A:B, 2, FALSE), 0)</f>
        <v>0</v>
      </c>
      <c r="AB21" s="6">
        <f>IFERROR(VLOOKUP(B21, [1]PMK!A:C, 3, FALSE), 0)</f>
        <v>0</v>
      </c>
      <c r="AC21" s="6">
        <f>IFERROR(VLOOKUP(B21, [1]PMK!A:D, 4, FALSE), 0)</f>
        <v>0</v>
      </c>
      <c r="AD21" s="6">
        <v>0</v>
      </c>
      <c r="AE21" s="6">
        <v>0</v>
      </c>
      <c r="AF21" s="6">
        <v>0</v>
      </c>
      <c r="AG21" s="6">
        <f>VLOOKUP(B21, [1]GHPR2024!B:S, 18, FALSE)</f>
        <v>98.979591836734699</v>
      </c>
      <c r="AH21" s="6">
        <f>VLOOKUP(B21, [1]GHPR2025!B:AE, 30, FALSE)</f>
        <v>99.73684210526315</v>
      </c>
      <c r="AI21" s="6">
        <f>VLOOKUP(B21, [1]Dengue2023!B:E, 4, FALSE)</f>
        <v>415</v>
      </c>
      <c r="AJ21" s="6">
        <f>VLOOKUP(B21, [1]Dengue2024!B:E, 4, FALSE)</f>
        <v>1631</v>
      </c>
      <c r="AK21" s="6">
        <f>VLOOKUP(B21, [1]Food!D:G, 4, FALSE)</f>
        <v>79.08</v>
      </c>
      <c r="AL21" s="6">
        <f>VLOOKUP(B21, [1]IRBI!E:F, 2, FALSE)</f>
        <v>77.56</v>
      </c>
      <c r="AM21" s="10">
        <f t="shared" si="4"/>
        <v>0</v>
      </c>
      <c r="AN21" s="10">
        <f t="shared" si="5"/>
        <v>0</v>
      </c>
      <c r="AO21" s="6">
        <f t="shared" si="6"/>
        <v>0</v>
      </c>
      <c r="AP21" s="6">
        <f>VLOOKUP(B21, [1]StuntingSSGI!A:B, 2, FALSE)</f>
        <v>19.7</v>
      </c>
      <c r="AQ21" s="6">
        <f>VLOOKUP(B21, [1]StuntingSSGI!A:L, 12, FALSE)</f>
        <v>5</v>
      </c>
      <c r="AR21" s="6">
        <f t="shared" si="7"/>
        <v>0</v>
      </c>
      <c r="AS21" s="6">
        <f>(C21 - AVERAGE(C$2:C$28)) / STDEV(C$2:C$28)</f>
        <v>-6.5108693488167446E-2</v>
      </c>
      <c r="AT21" s="6">
        <f t="shared" si="14"/>
        <v>6.756435808694787E-2</v>
      </c>
      <c r="AU21" s="6">
        <f t="shared" si="14"/>
        <v>-7.4842540310364511E-2</v>
      </c>
      <c r="AV21" s="6">
        <f t="shared" si="14"/>
        <v>0.69311610937926038</v>
      </c>
      <c r="AW21" s="6">
        <f t="shared" si="14"/>
        <v>1.1494218643904253</v>
      </c>
      <c r="AX21" s="6">
        <f t="shared" si="14"/>
        <v>0.45411969041362815</v>
      </c>
      <c r="AY21" s="6">
        <f t="shared" si="14"/>
        <v>-0.15594129976406287</v>
      </c>
      <c r="AZ21" s="6">
        <f t="shared" si="14"/>
        <v>0.55449848636364396</v>
      </c>
      <c r="BA21" s="6">
        <f t="shared" si="14"/>
        <v>0.84761630122571041</v>
      </c>
      <c r="BB21" s="6">
        <f t="shared" si="14"/>
        <v>-0.10658343627472019</v>
      </c>
      <c r="BC21" s="6">
        <f t="shared" si="14"/>
        <v>0.53982756572733592</v>
      </c>
      <c r="BD21" s="6">
        <f t="shared" si="14"/>
        <v>0.35534176841225001</v>
      </c>
      <c r="BE21" s="6">
        <f t="shared" si="14"/>
        <v>-0.89107963352695108</v>
      </c>
      <c r="BF21" s="6">
        <f t="shared" si="14"/>
        <v>1.1145820161724971</v>
      </c>
      <c r="BG21" s="6">
        <f t="shared" si="14"/>
        <v>1.0629199771016284</v>
      </c>
      <c r="BH21" s="6">
        <f>(R21 - AVERAGE(R$2:R$28)) / STDEV(R$2:R$28)</f>
        <v>0.58470409403142776</v>
      </c>
      <c r="BI21" s="6">
        <f t="shared" si="9"/>
        <v>1.025234278392164</v>
      </c>
      <c r="BJ21" s="6">
        <f t="shared" si="9"/>
        <v>1.0836771744384743</v>
      </c>
      <c r="BK21" s="6">
        <f t="shared" si="15"/>
        <v>-0.44614244817577825</v>
      </c>
      <c r="BL21" s="6">
        <f t="shared" si="15"/>
        <v>-0.19245008972987526</v>
      </c>
      <c r="BM21" s="6">
        <f t="shared" si="15"/>
        <v>-0.34414965772374678</v>
      </c>
      <c r="BN21" s="6">
        <f t="shared" si="15"/>
        <v>-0.85327902058065852</v>
      </c>
      <c r="BO21" s="6">
        <f t="shared" si="15"/>
        <v>-0.80410859391096701</v>
      </c>
      <c r="BP21" s="6">
        <f t="shared" si="15"/>
        <v>-0.36769283680818904</v>
      </c>
      <c r="BQ21" s="6">
        <f t="shared" si="15"/>
        <v>-1.3658911336187942</v>
      </c>
      <c r="BR21" s="6">
        <f t="shared" si="15"/>
        <v>-2.0932674059430871</v>
      </c>
      <c r="BS21" s="6">
        <f t="shared" si="15"/>
        <v>-0.72739008743679756</v>
      </c>
      <c r="BT21" s="6">
        <v>0</v>
      </c>
      <c r="BU21" s="6">
        <f t="shared" si="11"/>
        <v>-0.19245008972987523</v>
      </c>
      <c r="BV21" s="6">
        <v>0</v>
      </c>
      <c r="BW21" s="6">
        <f t="shared" si="12"/>
        <v>1.1337594132091944</v>
      </c>
      <c r="BX21" s="6">
        <f t="shared" si="12"/>
        <v>1.2750887015008205</v>
      </c>
      <c r="BY21" s="6">
        <f t="shared" si="12"/>
        <v>-0.56851925395845271</v>
      </c>
      <c r="BZ21" s="6">
        <f t="shared" si="12"/>
        <v>-0.39133838098372237</v>
      </c>
      <c r="CA21" s="6">
        <f t="shared" si="12"/>
        <v>-0.56763449090299667</v>
      </c>
      <c r="CB21" s="6">
        <f t="shared" si="12"/>
        <v>-1.3253042248817448</v>
      </c>
      <c r="CC21" s="6">
        <f t="shared" si="12"/>
        <v>-0.28275841728929912</v>
      </c>
      <c r="CD21" s="6">
        <f t="shared" si="12"/>
        <v>-0.6667522358796133</v>
      </c>
      <c r="CE21" s="6">
        <f t="shared" si="12"/>
        <v>-0.77217674253982505</v>
      </c>
      <c r="CF21" s="6">
        <f t="shared" si="12"/>
        <v>0.3809226742773083</v>
      </c>
      <c r="CG21" s="6">
        <f t="shared" si="12"/>
        <v>9.587143587787067E-2</v>
      </c>
      <c r="CH21" s="6">
        <f t="shared" si="12"/>
        <v>-0.19245008972987523</v>
      </c>
      <c r="CK21" s="6">
        <f>LN(U21+1)</f>
        <v>0</v>
      </c>
      <c r="CL21" s="6">
        <f t="shared" si="16"/>
        <v>0</v>
      </c>
      <c r="CM21" s="6">
        <f t="shared" si="16"/>
        <v>0</v>
      </c>
      <c r="CN21" s="6">
        <f t="shared" si="16"/>
        <v>0</v>
      </c>
      <c r="CO21" s="6">
        <f t="shared" si="16"/>
        <v>0</v>
      </c>
      <c r="CP21" s="6">
        <f t="shared" si="16"/>
        <v>0</v>
      </c>
      <c r="CQ21" s="6">
        <f t="shared" si="16"/>
        <v>0</v>
      </c>
      <c r="CR21" s="6">
        <f t="shared" si="16"/>
        <v>0</v>
      </c>
      <c r="CS21" s="6">
        <f t="shared" si="16"/>
        <v>0</v>
      </c>
    </row>
    <row r="22" spans="1:97" x14ac:dyDescent="0.2">
      <c r="A22" s="8">
        <v>21</v>
      </c>
      <c r="B22" s="1" t="s">
        <v>74</v>
      </c>
      <c r="C22" s="2">
        <f>VLOOKUP(B22, '[1]1. persentasi stunting'!B:C, 2, FALSE)</f>
        <v>6.54</v>
      </c>
      <c r="D22" s="2">
        <f>VLOOKUP(B22, '[1]1. persentasi stunting'!B:D, 3, FALSE)</f>
        <v>8.81</v>
      </c>
      <c r="E22" s="2">
        <f>VLOOKUP(B22, '[1]1. persentasi stunting'!B:E, 4, FALSE)</f>
        <v>11.66</v>
      </c>
      <c r="F22" s="2">
        <f>VLOOKUP(B22, '[1]2.  WASTING DAN SEVERE W'!B:C, 2, FALSE)</f>
        <v>4.08</v>
      </c>
      <c r="G22" s="2">
        <f>VLOOKUP(B22, '[1]2.  WASTING DAN SEVERE W'!B:D, 3, FALSE)</f>
        <v>3.96</v>
      </c>
      <c r="H22" s="2">
        <f>VLOOKUP(B22, '[1]2.  WASTING DAN SEVERE W'!B:E, 4, FALSE)</f>
        <v>4.24</v>
      </c>
      <c r="I22" s="2">
        <f>VLOOKUP(B22, '[1]3. IMUNISASI DASAR LENGKAP'!B:C, 2, FALSE)</f>
        <v>82.699999999999989</v>
      </c>
      <c r="J22" s="2">
        <f>VLOOKUP(B22, '[1]3. IMUNISASI DASAR LENGKAP'!B:D, 3, FALSE)</f>
        <v>83.899999999999991</v>
      </c>
      <c r="K22" s="2">
        <f>VLOOKUP(B22, '[1]3. IMUNISASI DASAR LENGKAP'!B:E, 4, FALSE)</f>
        <v>83.7</v>
      </c>
      <c r="L22" s="2">
        <f>VLOOKUP(B22, '[1]4. GIZI BURUK'!B:C, 2, FALSE)</f>
        <v>99.61</v>
      </c>
      <c r="M22" s="2">
        <f>VLOOKUP(B22, '[1]4. GIZI BURUK'!B:D, 3, FALSE)</f>
        <v>97.4</v>
      </c>
      <c r="N22" s="2">
        <f>VLOOKUP(B22, '[1]4. GIZI BURUK'!B:E, 4, FALSE)</f>
        <v>98.45</v>
      </c>
      <c r="O22" s="2">
        <f>VLOOKUP(B22, '[1]5. KUNJUNGAN ANTENATAL K6'!B:C, 2, FALSE)</f>
        <v>63.3</v>
      </c>
      <c r="P22" s="2">
        <f>VLOOKUP(B22, '[1]5. KUNJUNGAN ANTENATAL K6'!B:D, 3, FALSE)</f>
        <v>86.6</v>
      </c>
      <c r="Q22" s="2">
        <f>VLOOKUP(B22, '[1]5. KUNJUNGAN ANTENATAL K6'!B:E, 4, FALSE)</f>
        <v>91.82</v>
      </c>
      <c r="R22" s="2">
        <f>VLOOKUP(B22, '[1]6. PF'!B:C, 2, FALSE)</f>
        <v>89.5</v>
      </c>
      <c r="S22" s="2">
        <f>VLOOKUP(B22, '[1]6. PF'!B:D, 3, FALSE)</f>
        <v>92.76</v>
      </c>
      <c r="T22" s="2">
        <f>VLOOKUP(B22, '[1]6. PF'!B:E, 4, FALSE)</f>
        <v>93.56</v>
      </c>
      <c r="U22" s="9">
        <f>IFERROR(VLOOKUP(B22, [1]HPAI!A:B, 2, FALSE), 0)</f>
        <v>0</v>
      </c>
      <c r="V22" s="9">
        <f>IFERROR(VLOOKUP(B22, [1]HPAI!A:C, 3, FALSE), 0)</f>
        <v>0</v>
      </c>
      <c r="W22" s="9">
        <f>IFERROR(VLOOKUP(B22, [1]HPAI!A:D, 4, FALSE), 0)</f>
        <v>0</v>
      </c>
      <c r="X22" s="9">
        <f>IFERROR(VLOOKUP(B22, [1]LSD!A:B, 2, FALSE), 0)</f>
        <v>0</v>
      </c>
      <c r="Y22" s="9">
        <f>IFERROR(VLOOKUP(B22, [1]LSD!A:C, 3, FALSE), 0)</f>
        <v>0</v>
      </c>
      <c r="Z22" s="9">
        <f>IFERROR(VLOOKUP(B22, [1]LSD!A:D, 4, FALSE), 0)</f>
        <v>0</v>
      </c>
      <c r="AA22" s="6">
        <f>IFERROR(VLOOKUP(B22, [1]PMK!A:B, 2, FALSE), 0)</f>
        <v>0</v>
      </c>
      <c r="AB22" s="6">
        <f>IFERROR(VLOOKUP(B22, [1]PMK!A:C, 3, FALSE), 0)</f>
        <v>0</v>
      </c>
      <c r="AC22" s="6">
        <f>IFERROR(VLOOKUP(B22, [1]PMK!A:D, 4, FALSE), 0)</f>
        <v>0</v>
      </c>
      <c r="AD22" s="6">
        <v>0</v>
      </c>
      <c r="AE22" s="6">
        <v>0</v>
      </c>
      <c r="AF22" s="6">
        <v>0</v>
      </c>
      <c r="AG22" s="6">
        <f>VLOOKUP(B22, [1]GHPR2024!B:S, 18, FALSE)</f>
        <v>64.119601328903656</v>
      </c>
      <c r="AH22" s="6">
        <f>VLOOKUP(B22, [1]GHPR2025!B:AE, 30, FALSE)</f>
        <v>60.435339308578747</v>
      </c>
      <c r="AI22" s="6">
        <f>VLOOKUP(B22, [1]Dengue2023!B:E, 4, FALSE)</f>
        <v>1856</v>
      </c>
      <c r="AJ22" s="6">
        <f>VLOOKUP(B22, [1]Dengue2024!B:E, 4, FALSE)</f>
        <v>7680</v>
      </c>
      <c r="AK22" s="6">
        <f>VLOOKUP(B22, [1]Food!D:G, 4, FALSE)</f>
        <v>90.46</v>
      </c>
      <c r="AL22" s="6">
        <f>VLOOKUP(B22, [1]IRBI!E:F, 2, FALSE)</f>
        <v>91.95</v>
      </c>
      <c r="AM22" s="10">
        <f t="shared" si="4"/>
        <v>0</v>
      </c>
      <c r="AN22" s="10">
        <f t="shared" si="5"/>
        <v>0</v>
      </c>
      <c r="AO22" s="6">
        <f t="shared" si="6"/>
        <v>0</v>
      </c>
      <c r="AP22" s="6">
        <f>VLOOKUP(B22, [1]StuntingSSGI!A:B, 2, FALSE)</f>
        <v>22.8</v>
      </c>
      <c r="AQ22" s="6">
        <f>VLOOKUP(B22, [1]StuntingSSGI!A:L, 12, FALSE)</f>
        <v>4.8</v>
      </c>
      <c r="AR22" s="6">
        <f t="shared" si="7"/>
        <v>0</v>
      </c>
      <c r="AS22" s="6">
        <f t="shared" si="14"/>
        <v>0.24274566901153208</v>
      </c>
      <c r="AT22" s="6">
        <f t="shared" si="14"/>
        <v>0.90995803957038834</v>
      </c>
      <c r="AU22" s="6">
        <f t="shared" si="14"/>
        <v>0.87042410246397328</v>
      </c>
      <c r="AV22" s="6">
        <f t="shared" si="14"/>
        <v>0.36479795230487383</v>
      </c>
      <c r="AW22" s="6">
        <f t="shared" si="14"/>
        <v>0.17062486044147196</v>
      </c>
      <c r="AX22" s="6">
        <f t="shared" si="14"/>
        <v>0.31561196342894449</v>
      </c>
      <c r="AY22" s="6">
        <f t="shared" si="14"/>
        <v>-2.0419947486454881</v>
      </c>
      <c r="AZ22" s="6">
        <f t="shared" si="14"/>
        <v>-0.51829715206283777</v>
      </c>
      <c r="BA22" s="6">
        <f t="shared" si="14"/>
        <v>-0.43716248205194258</v>
      </c>
      <c r="BB22" s="6">
        <f t="shared" si="14"/>
        <v>0.18821075088511208</v>
      </c>
      <c r="BC22" s="6">
        <f t="shared" si="14"/>
        <v>0.32460780701505204</v>
      </c>
      <c r="BD22" s="6">
        <f t="shared" si="14"/>
        <v>0.1880068634043445</v>
      </c>
      <c r="BE22" s="6">
        <f t="shared" si="14"/>
        <v>-1.7981248595919015</v>
      </c>
      <c r="BF22" s="6">
        <f t="shared" si="14"/>
        <v>-1.7205167243752196E-2</v>
      </c>
      <c r="BG22" s="6">
        <f t="shared" si="14"/>
        <v>0.44749145684690211</v>
      </c>
      <c r="BH22" s="6">
        <f t="shared" si="14"/>
        <v>-0.93606297622462475</v>
      </c>
      <c r="BI22" s="6">
        <f t="shared" si="9"/>
        <v>0.40165719247174902</v>
      </c>
      <c r="BJ22" s="6">
        <f t="shared" si="9"/>
        <v>0.61886603678988461</v>
      </c>
      <c r="BK22" s="6">
        <f t="shared" si="15"/>
        <v>-0.44614244817577825</v>
      </c>
      <c r="BL22" s="6">
        <f t="shared" si="15"/>
        <v>-0.19245008972987526</v>
      </c>
      <c r="BM22" s="6">
        <f t="shared" si="15"/>
        <v>-0.34414965772374678</v>
      </c>
      <c r="BN22" s="6">
        <f t="shared" si="15"/>
        <v>-0.85327902058065852</v>
      </c>
      <c r="BO22" s="6">
        <f t="shared" si="15"/>
        <v>-0.80410859391096701</v>
      </c>
      <c r="BP22" s="6">
        <f t="shared" si="15"/>
        <v>-0.36769283680818904</v>
      </c>
      <c r="BQ22" s="6">
        <f t="shared" si="15"/>
        <v>-1.3658911336187942</v>
      </c>
      <c r="BR22" s="6">
        <f t="shared" si="15"/>
        <v>-2.0932674059430871</v>
      </c>
      <c r="BS22" s="6">
        <f t="shared" si="15"/>
        <v>-0.72739008743679756</v>
      </c>
      <c r="BT22" s="6">
        <v>0</v>
      </c>
      <c r="BU22" s="6">
        <f t="shared" si="11"/>
        <v>-0.19245008972987523</v>
      </c>
      <c r="BV22" s="6">
        <v>0</v>
      </c>
      <c r="BW22" s="6">
        <f t="shared" si="12"/>
        <v>3.0717670108545814E-2</v>
      </c>
      <c r="BX22" s="6">
        <f t="shared" si="12"/>
        <v>-2.2285543193561182E-2</v>
      </c>
      <c r="BY22" s="6">
        <f t="shared" si="12"/>
        <v>2.1545360967446769</v>
      </c>
      <c r="BZ22" s="6">
        <f t="shared" si="12"/>
        <v>3.2848699704142108</v>
      </c>
      <c r="CA22" s="6">
        <f t="shared" si="12"/>
        <v>1.5101755361979674</v>
      </c>
      <c r="CB22" s="6">
        <f t="shared" si="12"/>
        <v>-0.8041402297264808</v>
      </c>
      <c r="CC22" s="6">
        <f t="shared" si="12"/>
        <v>-0.28275841728929912</v>
      </c>
      <c r="CD22" s="6">
        <f t="shared" si="12"/>
        <v>-0.6667522358796133</v>
      </c>
      <c r="CE22" s="6">
        <f t="shared" si="12"/>
        <v>-0.77217674253982505</v>
      </c>
      <c r="CF22" s="6">
        <f t="shared" si="12"/>
        <v>1.0173144474711366</v>
      </c>
      <c r="CG22" s="6">
        <f t="shared" si="12"/>
        <v>-2.1788962699516797E-2</v>
      </c>
      <c r="CH22" s="6">
        <f t="shared" si="12"/>
        <v>-0.19245008972987523</v>
      </c>
      <c r="CK22" s="6">
        <f t="shared" si="16"/>
        <v>0</v>
      </c>
      <c r="CL22" s="6">
        <f t="shared" si="16"/>
        <v>0</v>
      </c>
      <c r="CM22" s="6">
        <f t="shared" si="16"/>
        <v>0</v>
      </c>
      <c r="CN22" s="6">
        <f t="shared" si="16"/>
        <v>0</v>
      </c>
      <c r="CO22" s="6">
        <f t="shared" si="16"/>
        <v>0</v>
      </c>
      <c r="CP22" s="6">
        <f t="shared" si="16"/>
        <v>0</v>
      </c>
      <c r="CQ22" s="6">
        <f t="shared" si="16"/>
        <v>0</v>
      </c>
      <c r="CR22" s="6">
        <f t="shared" si="16"/>
        <v>0</v>
      </c>
      <c r="CS22" s="6">
        <f t="shared" si="16"/>
        <v>0</v>
      </c>
    </row>
    <row r="23" spans="1:97" x14ac:dyDescent="0.2">
      <c r="A23" s="8">
        <v>22</v>
      </c>
      <c r="B23" s="1" t="s">
        <v>75</v>
      </c>
      <c r="C23" s="2">
        <f>VLOOKUP(B23, '[1]1. persentasi stunting'!B:C, 2, FALSE)</f>
        <v>11.18</v>
      </c>
      <c r="D23" s="2">
        <f>VLOOKUP(B23, '[1]1. persentasi stunting'!B:D, 3, FALSE)</f>
        <v>13.04</v>
      </c>
      <c r="E23" s="2">
        <f>VLOOKUP(B23, '[1]1. persentasi stunting'!B:E, 4, FALSE)</f>
        <v>14.21</v>
      </c>
      <c r="F23" s="2">
        <f>VLOOKUP(B23, '[1]2.  WASTING DAN SEVERE W'!B:C, 2, FALSE)</f>
        <v>5.81</v>
      </c>
      <c r="G23" s="2">
        <f>VLOOKUP(B23, '[1]2.  WASTING DAN SEVERE W'!B:D, 3, FALSE)</f>
        <v>7.5</v>
      </c>
      <c r="H23" s="2">
        <f>VLOOKUP(B23, '[1]2.  WASTING DAN SEVERE W'!B:E, 4, FALSE)</f>
        <v>7.16</v>
      </c>
      <c r="I23" s="2">
        <f>VLOOKUP(B23, '[1]3. IMUNISASI DASAR LENGKAP'!B:C, 2, FALSE)</f>
        <v>84.7</v>
      </c>
      <c r="J23" s="2">
        <f>VLOOKUP(B23, '[1]3. IMUNISASI DASAR LENGKAP'!B:D, 3, FALSE)</f>
        <v>70.099999999999994</v>
      </c>
      <c r="K23" s="2">
        <f>VLOOKUP(B23, '[1]3. IMUNISASI DASAR LENGKAP'!B:E, 4, FALSE)</f>
        <v>67.900000000000006</v>
      </c>
      <c r="L23" s="2">
        <f>VLOOKUP(B23, '[1]4. GIZI BURUK'!B:C, 2, FALSE)</f>
        <v>100</v>
      </c>
      <c r="M23" s="2">
        <f>VLOOKUP(B23, '[1]4. GIZI BURUK'!B:D, 3, FALSE)</f>
        <v>100</v>
      </c>
      <c r="N23" s="2">
        <f>VLOOKUP(B23, '[1]4. GIZI BURUK'!B:E, 4, FALSE)</f>
        <v>98.16</v>
      </c>
      <c r="O23" s="2">
        <f>VLOOKUP(B23, '[1]5. KUNJUNGAN ANTENATAL K6'!B:C, 2, FALSE)</f>
        <v>86.3</v>
      </c>
      <c r="P23" s="2">
        <f>VLOOKUP(B23, '[1]5. KUNJUNGAN ANTENATAL K6'!B:D, 3, FALSE)</f>
        <v>71.7</v>
      </c>
      <c r="Q23" s="2">
        <f>VLOOKUP(B23, '[1]5. KUNJUNGAN ANTENATAL K6'!B:E, 4, FALSE)</f>
        <v>71.02</v>
      </c>
      <c r="R23" s="2">
        <f>VLOOKUP(B23, '[1]6. PF'!B:C, 2, FALSE)</f>
        <v>92.3</v>
      </c>
      <c r="S23" s="2">
        <f>VLOOKUP(B23, '[1]6. PF'!B:D, 3, FALSE)</f>
        <v>71.58</v>
      </c>
      <c r="T23" s="2">
        <f>VLOOKUP(B23, '[1]6. PF'!B:E, 4, FALSE)</f>
        <v>70.73</v>
      </c>
      <c r="U23" s="9">
        <f>IFERROR(VLOOKUP(B23, [1]HPAI!A:B, 2, FALSE), 0)</f>
        <v>0</v>
      </c>
      <c r="V23" s="9">
        <f>IFERROR(VLOOKUP(B23, [1]HPAI!A:C, 3, FALSE), 0)</f>
        <v>0</v>
      </c>
      <c r="W23" s="9">
        <f>IFERROR(VLOOKUP(B23, [1]HPAI!A:D, 4, FALSE), 0)</f>
        <v>0</v>
      </c>
      <c r="X23" s="9">
        <f>IFERROR(VLOOKUP(B23, [1]LSD!A:B, 2, FALSE), 0)</f>
        <v>0</v>
      </c>
      <c r="Y23" s="9">
        <f>IFERROR(VLOOKUP(B23, [1]LSD!A:C, 3, FALSE), 0)</f>
        <v>4</v>
      </c>
      <c r="Z23" s="9">
        <f>IFERROR(VLOOKUP(B23, [1]LSD!A:D, 4, FALSE), 0)</f>
        <v>0</v>
      </c>
      <c r="AA23" s="6">
        <f>IFERROR(VLOOKUP(B23, [1]PMK!A:B, 2, FALSE), 0)</f>
        <v>6</v>
      </c>
      <c r="AB23" s="6">
        <f>IFERROR(VLOOKUP(B23, [1]PMK!A:C, 3, FALSE), 0)</f>
        <v>3</v>
      </c>
      <c r="AC23" s="6">
        <f>IFERROR(VLOOKUP(B23, [1]PMK!A:D, 4, FALSE), 0)</f>
        <v>0</v>
      </c>
      <c r="AD23" s="6">
        <v>0</v>
      </c>
      <c r="AE23" s="6">
        <v>0</v>
      </c>
      <c r="AF23" s="6">
        <v>0</v>
      </c>
      <c r="AG23" s="6">
        <f>VLOOKUP(B23, [1]GHPR2024!B:S, 18, FALSE)</f>
        <v>75.218658892128275</v>
      </c>
      <c r="AH23" s="6">
        <f>VLOOKUP(B23, [1]GHPR2025!B:AE, 30, FALSE)</f>
        <v>84.615384615384613</v>
      </c>
      <c r="AI23" s="6">
        <f>VLOOKUP(B23, [1]Dengue2023!B:E, 4, FALSE)</f>
        <v>227</v>
      </c>
      <c r="AJ23" s="6">
        <f>VLOOKUP(B23, [1]Dengue2024!B:E, 4, FALSE)</f>
        <v>597</v>
      </c>
      <c r="AK23" s="6">
        <f>VLOOKUP(B23, [1]Food!D:G, 4, FALSE)</f>
        <v>83.77</v>
      </c>
      <c r="AL23" s="6">
        <f>VLOOKUP(B23, [1]IRBI!E:F, 2, FALSE)</f>
        <v>112.32</v>
      </c>
      <c r="AM23" s="10">
        <f t="shared" si="4"/>
        <v>0</v>
      </c>
      <c r="AN23" s="10">
        <f t="shared" si="5"/>
        <v>4</v>
      </c>
      <c r="AO23" s="6">
        <f t="shared" si="6"/>
        <v>9</v>
      </c>
      <c r="AP23" s="6">
        <f>VLOOKUP(B23, [1]StuntingSSGI!A:B, 2, FALSE)</f>
        <v>14.9</v>
      </c>
      <c r="AQ23" s="6">
        <f>VLOOKUP(B23, [1]StuntingSSGI!A:L, 12, FALSE)</f>
        <v>7.9</v>
      </c>
      <c r="AR23" s="6">
        <f t="shared" si="7"/>
        <v>0</v>
      </c>
      <c r="AS23" s="6">
        <f t="shared" si="14"/>
        <v>1.5777402877018174</v>
      </c>
      <c r="AT23" s="6">
        <f t="shared" si="14"/>
        <v>2.1137841452038177</v>
      </c>
      <c r="AU23" s="6">
        <f t="shared" si="14"/>
        <v>1.4853296991666678</v>
      </c>
      <c r="AV23" s="6">
        <f t="shared" si="14"/>
        <v>1.5007787757822511</v>
      </c>
      <c r="AW23" s="6">
        <f t="shared" si="14"/>
        <v>2.4805857897610015</v>
      </c>
      <c r="AX23" s="6">
        <f t="shared" si="14"/>
        <v>2.241528929120737</v>
      </c>
      <c r="AY23" s="6">
        <f t="shared" si="14"/>
        <v>-1.7763534178171163</v>
      </c>
      <c r="AZ23" s="6">
        <f t="shared" si="14"/>
        <v>-1.6149326935654633</v>
      </c>
      <c r="BA23" s="6">
        <f t="shared" si="14"/>
        <v>-1.7468079514575499</v>
      </c>
      <c r="BB23" s="6">
        <f t="shared" si="14"/>
        <v>0.23798119806794094</v>
      </c>
      <c r="BC23" s="6">
        <f t="shared" si="14"/>
        <v>0.53982756572733592</v>
      </c>
      <c r="BD23" s="6">
        <f t="shared" si="14"/>
        <v>0.15669904246738078</v>
      </c>
      <c r="BE23" s="6">
        <f t="shared" si="14"/>
        <v>0.26742367501144926</v>
      </c>
      <c r="BF23" s="6">
        <f t="shared" si="14"/>
        <v>-1.2756849458185355</v>
      </c>
      <c r="BG23" s="6">
        <f t="shared" si="14"/>
        <v>-0.98758850069775095</v>
      </c>
      <c r="BH23" s="6">
        <f t="shared" si="14"/>
        <v>-0.53052509082301114</v>
      </c>
      <c r="BI23" s="6">
        <f t="shared" si="9"/>
        <v>-1.4175387689324397</v>
      </c>
      <c r="BJ23" s="6">
        <f t="shared" si="9"/>
        <v>-1.0289038813028648</v>
      </c>
      <c r="BK23" s="6">
        <f t="shared" si="15"/>
        <v>-0.44614244817577825</v>
      </c>
      <c r="BL23" s="6">
        <f t="shared" si="15"/>
        <v>-0.19245008972987526</v>
      </c>
      <c r="BM23" s="6">
        <f t="shared" si="15"/>
        <v>-0.34414965772374678</v>
      </c>
      <c r="BN23" s="6">
        <f t="shared" si="15"/>
        <v>-0.85327902058065852</v>
      </c>
      <c r="BO23" s="6">
        <f t="shared" si="15"/>
        <v>6.3863059215608614E-2</v>
      </c>
      <c r="BP23" s="6">
        <f t="shared" si="15"/>
        <v>-0.36769283680818904</v>
      </c>
      <c r="BQ23" s="6">
        <f t="shared" si="15"/>
        <v>-0.57720236648547585</v>
      </c>
      <c r="BR23" s="6">
        <f t="shared" si="15"/>
        <v>-1.3598442227781991</v>
      </c>
      <c r="BS23" s="6">
        <f t="shared" si="15"/>
        <v>-0.72739008743679756</v>
      </c>
      <c r="BT23" s="6">
        <v>0</v>
      </c>
      <c r="BU23" s="6">
        <f t="shared" si="11"/>
        <v>-0.19245008972987523</v>
      </c>
      <c r="BV23" s="6">
        <v>0</v>
      </c>
      <c r="BW23" s="6">
        <f t="shared" si="12"/>
        <v>0.38191466193111911</v>
      </c>
      <c r="BX23" s="6">
        <f t="shared" si="12"/>
        <v>0.77591721711512873</v>
      </c>
      <c r="BY23" s="6">
        <f t="shared" si="12"/>
        <v>-0.92378254745754251</v>
      </c>
      <c r="BZ23" s="6">
        <f t="shared" ref="BZ23:CH49" si="17">(AJ23 - AVERAGE(AJ$2:AJ$28)) / STDEV(AJ$2:AJ$28)</f>
        <v>-1.0197396762962472</v>
      </c>
      <c r="CA23" s="6">
        <f t="shared" si="17"/>
        <v>0.28868616174230394</v>
      </c>
      <c r="CB23" s="6">
        <f t="shared" si="17"/>
        <v>-6.6398007258605771E-2</v>
      </c>
      <c r="CC23" s="6">
        <f t="shared" si="17"/>
        <v>-0.28275841728929912</v>
      </c>
      <c r="CD23" s="6">
        <f t="shared" si="17"/>
        <v>-0.60844515776220576</v>
      </c>
      <c r="CE23" s="6">
        <f t="shared" si="17"/>
        <v>-0.75186510057866707</v>
      </c>
      <c r="CF23" s="6">
        <f t="shared" si="17"/>
        <v>-0.604458135829264</v>
      </c>
      <c r="CG23" s="6">
        <f t="shared" si="17"/>
        <v>1.8019472152499876</v>
      </c>
      <c r="CH23" s="6">
        <f t="shared" si="17"/>
        <v>-0.19245008972987523</v>
      </c>
      <c r="CK23" s="6">
        <f t="shared" si="16"/>
        <v>0</v>
      </c>
      <c r="CL23" s="6">
        <f t="shared" si="16"/>
        <v>0</v>
      </c>
      <c r="CM23" s="6">
        <f t="shared" si="16"/>
        <v>0</v>
      </c>
      <c r="CN23" s="6">
        <f t="shared" si="16"/>
        <v>0</v>
      </c>
      <c r="CO23" s="6">
        <f t="shared" si="16"/>
        <v>1.6094379124341003</v>
      </c>
      <c r="CP23" s="6">
        <f t="shared" si="16"/>
        <v>0</v>
      </c>
      <c r="CQ23" s="6">
        <f t="shared" si="16"/>
        <v>1.9459101490553132</v>
      </c>
      <c r="CR23" s="6">
        <f t="shared" si="16"/>
        <v>1.3862943611198906</v>
      </c>
      <c r="CS23" s="6">
        <f t="shared" si="16"/>
        <v>0</v>
      </c>
    </row>
    <row r="24" spans="1:97" x14ac:dyDescent="0.2">
      <c r="A24" s="8">
        <v>23</v>
      </c>
      <c r="B24" s="1" t="s">
        <v>76</v>
      </c>
      <c r="C24" s="2">
        <f>VLOOKUP(B24, '[1]1. persentasi stunting'!B:C, 2, FALSE)</f>
        <v>2.99</v>
      </c>
      <c r="D24" s="2">
        <f>VLOOKUP(B24, '[1]1. persentasi stunting'!B:D, 3, FALSE)</f>
        <v>2.88</v>
      </c>
      <c r="E24" s="2">
        <f>VLOOKUP(B24, '[1]1. persentasi stunting'!B:E, 4, FALSE)</f>
        <v>4.2300000000000004</v>
      </c>
      <c r="F24" s="2">
        <f>VLOOKUP(B24, '[1]2.  WASTING DAN SEVERE W'!B:C, 2, FALSE)</f>
        <v>4.04</v>
      </c>
      <c r="G24" s="2">
        <f>VLOOKUP(B24, '[1]2.  WASTING DAN SEVERE W'!B:D, 3, FALSE)</f>
        <v>3.36</v>
      </c>
      <c r="H24" s="2">
        <f>VLOOKUP(B24, '[1]2.  WASTING DAN SEVERE W'!B:E, 4, FALSE)</f>
        <v>3.36</v>
      </c>
      <c r="I24" s="2">
        <f>VLOOKUP(B24, '[1]3. IMUNISASI DASAR LENGKAP'!B:C, 2, FALSE)</f>
        <v>84.3</v>
      </c>
      <c r="J24" s="2">
        <f>VLOOKUP(B24, '[1]3. IMUNISASI DASAR LENGKAP'!B:D, 3, FALSE)</f>
        <v>102.8</v>
      </c>
      <c r="K24" s="2">
        <f>VLOOKUP(B24, '[1]3. IMUNISASI DASAR LENGKAP'!B:E, 4, FALSE)</f>
        <v>102.89999999999999</v>
      </c>
      <c r="L24" s="2">
        <f>VLOOKUP(B24, '[1]4. GIZI BURUK'!B:C, 2, FALSE)</f>
        <v>100</v>
      </c>
      <c r="M24" s="2">
        <f>VLOOKUP(B24, '[1]4. GIZI BURUK'!B:D, 3, FALSE)</f>
        <v>100</v>
      </c>
      <c r="N24" s="2">
        <f>VLOOKUP(B24, '[1]4. GIZI BURUK'!B:E, 4, FALSE)</f>
        <v>100</v>
      </c>
      <c r="O24" s="2">
        <f>VLOOKUP(B24, '[1]5. KUNJUNGAN ANTENATAL K6'!B:C, 2, FALSE)</f>
        <v>66.5</v>
      </c>
      <c r="P24" s="2">
        <f>VLOOKUP(B24, '[1]5. KUNJUNGAN ANTENATAL K6'!B:D, 3, FALSE)</f>
        <v>104.4</v>
      </c>
      <c r="Q24" s="2">
        <f>VLOOKUP(B24, '[1]5. KUNJUNGAN ANTENATAL K6'!B:E, 4, FALSE)</f>
        <v>111.31</v>
      </c>
      <c r="R24" s="2">
        <f>VLOOKUP(B24, '[1]6. PF'!B:C, 2, FALSE)</f>
        <v>85.4</v>
      </c>
      <c r="S24" s="2">
        <f>VLOOKUP(B24, '[1]6. PF'!B:D, 3, FALSE)</f>
        <v>104.36</v>
      </c>
      <c r="T24" s="2">
        <f>VLOOKUP(B24, '[1]6. PF'!B:E, 4, FALSE)</f>
        <v>105.4</v>
      </c>
      <c r="U24" s="9">
        <f>IFERROR(VLOOKUP(B24, [1]HPAI!A:B, 2, FALSE), 0)</f>
        <v>0</v>
      </c>
      <c r="V24" s="9">
        <f>IFERROR(VLOOKUP(B24, [1]HPAI!A:C, 3, FALSE), 0)</f>
        <v>0</v>
      </c>
      <c r="W24" s="9">
        <f>IFERROR(VLOOKUP(B24, [1]HPAI!A:D, 4, FALSE), 0)</f>
        <v>0</v>
      </c>
      <c r="X24" s="9">
        <f>IFERROR(VLOOKUP(B24, [1]LSD!A:B, 2, FALSE), 0)</f>
        <v>0</v>
      </c>
      <c r="Y24" s="9">
        <f>IFERROR(VLOOKUP(B24, [1]LSD!A:C, 3, FALSE), 0)</f>
        <v>0</v>
      </c>
      <c r="Z24" s="9">
        <f>IFERROR(VLOOKUP(B24, [1]LSD!A:D, 4, FALSE), 0)</f>
        <v>0</v>
      </c>
      <c r="AA24" s="6">
        <f>IFERROR(VLOOKUP(B24, [1]PMK!A:B, 2, FALSE), 0)</f>
        <v>0</v>
      </c>
      <c r="AB24" s="6">
        <f>IFERROR(VLOOKUP(B24, [1]PMK!A:C, 3, FALSE), 0)</f>
        <v>26</v>
      </c>
      <c r="AC24" s="6">
        <f>IFERROR(VLOOKUP(B24, [1]PMK!A:D, 4, FALSE), 0)</f>
        <v>0</v>
      </c>
      <c r="AD24" s="6">
        <v>0</v>
      </c>
      <c r="AE24" s="6">
        <v>0</v>
      </c>
      <c r="AF24" s="6">
        <v>0</v>
      </c>
      <c r="AG24" s="6">
        <f>VLOOKUP(B24, [1]GHPR2024!B:S, 18, FALSE)</f>
        <v>61.933534743202415</v>
      </c>
      <c r="AH24" s="6">
        <f>VLOOKUP(B24, [1]GHPR2025!B:AE, 30, FALSE)</f>
        <v>55.344070278184475</v>
      </c>
      <c r="AI24" s="6">
        <f>VLOOKUP(B24, [1]Dengue2023!B:E, 4, FALSE)</f>
        <v>1220</v>
      </c>
      <c r="AJ24" s="6">
        <f>VLOOKUP(B24, [1]Dengue2024!B:E, 4, FALSE)</f>
        <v>4167</v>
      </c>
      <c r="AK24" s="6">
        <f>VLOOKUP(B24, [1]Food!D:G, 4, FALSE)</f>
        <v>93.55</v>
      </c>
      <c r="AL24" s="6">
        <f>VLOOKUP(B24, [1]IRBI!E:F, 2, FALSE)</f>
        <v>111.58</v>
      </c>
      <c r="AM24" s="10">
        <f t="shared" si="4"/>
        <v>0</v>
      </c>
      <c r="AN24" s="10">
        <f t="shared" si="5"/>
        <v>0</v>
      </c>
      <c r="AO24" s="6">
        <f t="shared" si="6"/>
        <v>26</v>
      </c>
      <c r="AP24" s="6">
        <f>VLOOKUP(B24, [1]StuntingSSGI!A:B, 2, FALSE)</f>
        <v>11.7</v>
      </c>
      <c r="AQ24" s="6">
        <f>VLOOKUP(B24, [1]StuntingSSGI!A:L, 12, FALSE)</f>
        <v>3.3</v>
      </c>
      <c r="AR24" s="6">
        <f t="shared" si="7"/>
        <v>0</v>
      </c>
      <c r="AS24" s="6">
        <f t="shared" si="14"/>
        <v>-0.77864030002952678</v>
      </c>
      <c r="AT24" s="6">
        <f t="shared" si="14"/>
        <v>-0.77767524799609844</v>
      </c>
      <c r="AU24" s="6">
        <f t="shared" si="14"/>
        <v>-0.92124200871289652</v>
      </c>
      <c r="AV24" s="6">
        <f t="shared" si="14"/>
        <v>0.33853249973892291</v>
      </c>
      <c r="AW24" s="6">
        <f t="shared" si="14"/>
        <v>-0.2208939411381094</v>
      </c>
      <c r="AX24" s="6">
        <f t="shared" si="14"/>
        <v>-0.26480136869734933</v>
      </c>
      <c r="AY24" s="6">
        <f t="shared" si="14"/>
        <v>-1.8294816839827912</v>
      </c>
      <c r="AZ24" s="6">
        <f t="shared" si="14"/>
        <v>0.98361674173423719</v>
      </c>
      <c r="BA24" s="6">
        <f t="shared" si="14"/>
        <v>1.1543054301371494</v>
      </c>
      <c r="BB24" s="6">
        <f t="shared" si="14"/>
        <v>0.23798119806794094</v>
      </c>
      <c r="BC24" s="6">
        <f t="shared" si="14"/>
        <v>0.53982756572733592</v>
      </c>
      <c r="BD24" s="6">
        <f t="shared" si="14"/>
        <v>0.35534176841225001</v>
      </c>
      <c r="BE24" s="6">
        <f t="shared" si="14"/>
        <v>-1.5107441939079567</v>
      </c>
      <c r="BF24" s="6">
        <f t="shared" si="14"/>
        <v>1.4862136286375345</v>
      </c>
      <c r="BG24" s="6">
        <f t="shared" si="14"/>
        <v>1.7921889747577342</v>
      </c>
      <c r="BH24" s="6">
        <f t="shared" si="14"/>
        <v>-1.5298863084198444</v>
      </c>
      <c r="BI24" s="6">
        <f t="shared" si="9"/>
        <v>1.3980062553748922</v>
      </c>
      <c r="BJ24" s="6">
        <f t="shared" si="9"/>
        <v>1.473425643895367</v>
      </c>
      <c r="BK24" s="6">
        <f>(CK24 - AVERAGE(CK$2:CK$28)) / STDEV(CK$2:CK$28)</f>
        <v>-0.44614244817577825</v>
      </c>
      <c r="BL24" s="6">
        <f t="shared" si="15"/>
        <v>-0.19245008972987526</v>
      </c>
      <c r="BM24" s="6">
        <f t="shared" si="15"/>
        <v>-0.34414965772374678</v>
      </c>
      <c r="BN24" s="6">
        <f t="shared" si="15"/>
        <v>-0.85327902058065852</v>
      </c>
      <c r="BO24" s="6">
        <f t="shared" si="15"/>
        <v>-0.80410859391096701</v>
      </c>
      <c r="BP24" s="6">
        <f t="shared" si="15"/>
        <v>-0.36769283680818904</v>
      </c>
      <c r="BQ24" s="6">
        <f t="shared" si="15"/>
        <v>-1.3658911336187942</v>
      </c>
      <c r="BR24" s="6">
        <f t="shared" si="15"/>
        <v>-0.34959504222924997</v>
      </c>
      <c r="BS24" s="6">
        <f t="shared" si="15"/>
        <v>-0.72739008743679756</v>
      </c>
      <c r="BT24" s="6">
        <v>0</v>
      </c>
      <c r="BU24" s="6">
        <f t="shared" si="11"/>
        <v>-0.19245008972987523</v>
      </c>
      <c r="BV24" s="6">
        <v>0</v>
      </c>
      <c r="BW24" s="6">
        <f t="shared" ref="BW24:BY50" si="18">(AG24 - AVERAGE(AG$2:AG$28)) / STDEV(AG$2:AG$28)</f>
        <v>-3.8453969415690251E-2</v>
      </c>
      <c r="BX24" s="6">
        <f t="shared" si="18"/>
        <v>-0.19035243231518806</v>
      </c>
      <c r="BY24" s="6">
        <f t="shared" si="18"/>
        <v>0.95268793363073478</v>
      </c>
      <c r="BZ24" s="6">
        <f t="shared" si="17"/>
        <v>1.149885685662857</v>
      </c>
      <c r="CA24" s="6">
        <f t="shared" si="17"/>
        <v>2.074361211394979</v>
      </c>
      <c r="CB24" s="6">
        <f t="shared" si="17"/>
        <v>-9.3198657461169537E-2</v>
      </c>
      <c r="CC24" s="6">
        <f t="shared" si="17"/>
        <v>-0.28275841728929912</v>
      </c>
      <c r="CD24" s="6">
        <f t="shared" si="17"/>
        <v>-0.6667522358796133</v>
      </c>
      <c r="CE24" s="6">
        <f t="shared" si="17"/>
        <v>-0.71349866576314636</v>
      </c>
      <c r="CF24" s="6">
        <f t="shared" si="17"/>
        <v>-1.2613786759003125</v>
      </c>
      <c r="CG24" s="6">
        <f t="shared" si="17"/>
        <v>-0.90424195202992197</v>
      </c>
      <c r="CH24" s="6">
        <f t="shared" si="17"/>
        <v>-0.19245008972987523</v>
      </c>
      <c r="CK24" s="6">
        <f t="shared" si="16"/>
        <v>0</v>
      </c>
      <c r="CL24" s="6">
        <f t="shared" si="16"/>
        <v>0</v>
      </c>
      <c r="CM24" s="6">
        <f t="shared" si="16"/>
        <v>0</v>
      </c>
      <c r="CN24" s="6">
        <f t="shared" si="16"/>
        <v>0</v>
      </c>
      <c r="CO24" s="6">
        <f t="shared" si="16"/>
        <v>0</v>
      </c>
      <c r="CP24" s="6">
        <f t="shared" si="16"/>
        <v>0</v>
      </c>
      <c r="CQ24" s="6">
        <f t="shared" si="16"/>
        <v>0</v>
      </c>
      <c r="CR24" s="6">
        <f t="shared" si="16"/>
        <v>3.2958368660043291</v>
      </c>
      <c r="CS24" s="6">
        <f t="shared" si="16"/>
        <v>0</v>
      </c>
    </row>
    <row r="25" spans="1:97" x14ac:dyDescent="0.2">
      <c r="A25" s="8">
        <v>24</v>
      </c>
      <c r="B25" s="1" t="s">
        <v>77</v>
      </c>
      <c r="C25" s="2">
        <f>VLOOKUP(B25, '[1]1. persentasi stunting'!B:C, 2, FALSE)</f>
        <v>3.29</v>
      </c>
      <c r="D25" s="2">
        <f>VLOOKUP(B25, '[1]1. persentasi stunting'!B:D, 3, FALSE)</f>
        <v>3.58</v>
      </c>
      <c r="E25" s="2">
        <f>VLOOKUP(B25, '[1]1. persentasi stunting'!B:E, 4, FALSE)</f>
        <v>8.59</v>
      </c>
      <c r="F25" s="2">
        <f>VLOOKUP(B25, '[1]2.  WASTING DAN SEVERE W'!B:C, 2, FALSE)</f>
        <v>2.56</v>
      </c>
      <c r="G25" s="2">
        <f>VLOOKUP(B25, '[1]2.  WASTING DAN SEVERE W'!B:D, 3, FALSE)</f>
        <v>3.16</v>
      </c>
      <c r="H25" s="2">
        <f>VLOOKUP(B25, '[1]2.  WASTING DAN SEVERE W'!B:E, 4, FALSE)</f>
        <v>3.52</v>
      </c>
      <c r="I25" s="2">
        <f>VLOOKUP(B25, '[1]3. IMUNISASI DASAR LENGKAP'!B:C, 2, FALSE)</f>
        <v>95.5</v>
      </c>
      <c r="J25" s="2">
        <f>VLOOKUP(B25, '[1]3. IMUNISASI DASAR LENGKAP'!B:D, 3, FALSE)</f>
        <v>112.99999999999999</v>
      </c>
      <c r="K25" s="2">
        <f>VLOOKUP(B25, '[1]3. IMUNISASI DASAR LENGKAP'!B:E, 4, FALSE)</f>
        <v>111.80000000000001</v>
      </c>
      <c r="L25" s="2">
        <f>VLOOKUP(B25, '[1]4. GIZI BURUK'!B:C, 2, FALSE)</f>
        <v>100</v>
      </c>
      <c r="M25" s="2">
        <f>VLOOKUP(B25, '[1]4. GIZI BURUK'!B:D, 3, FALSE)</f>
        <v>100</v>
      </c>
      <c r="N25" s="2">
        <f>VLOOKUP(B25, '[1]4. GIZI BURUK'!B:E, 4, FALSE)</f>
        <v>100</v>
      </c>
      <c r="O25" s="2">
        <f>VLOOKUP(B25, '[1]5. KUNJUNGAN ANTENATAL K6'!B:C, 2, FALSE)</f>
        <v>94.8</v>
      </c>
      <c r="P25" s="2">
        <f>VLOOKUP(B25, '[1]5. KUNJUNGAN ANTENATAL K6'!B:D, 3, FALSE)</f>
        <v>100</v>
      </c>
      <c r="Q25" s="2">
        <f>VLOOKUP(B25, '[1]5. KUNJUNGAN ANTENATAL K6'!B:E, 4, FALSE)</f>
        <v>100.04</v>
      </c>
      <c r="R25" s="2">
        <f>VLOOKUP(B25, '[1]6. PF'!B:C, 2, FALSE)</f>
        <v>100</v>
      </c>
      <c r="S25" s="2">
        <f>VLOOKUP(B25, '[1]6. PF'!B:D, 3, FALSE)</f>
        <v>100</v>
      </c>
      <c r="T25" s="2">
        <f>VLOOKUP(B25, '[1]6. PF'!B:E, 4, FALSE)</f>
        <v>99.94</v>
      </c>
      <c r="U25" s="9">
        <f>IFERROR(VLOOKUP(B25, [1]HPAI!A:B, 2, FALSE), 0)</f>
        <v>0</v>
      </c>
      <c r="V25" s="9">
        <f>IFERROR(VLOOKUP(B25, [1]HPAI!A:C, 3, FALSE), 0)</f>
        <v>0</v>
      </c>
      <c r="W25" s="9">
        <f>IFERROR(VLOOKUP(B25, [1]HPAI!A:D, 4, FALSE), 0)</f>
        <v>0</v>
      </c>
      <c r="X25" s="9">
        <f>IFERROR(VLOOKUP(B25, [1]LSD!A:B, 2, FALSE), 0)</f>
        <v>0</v>
      </c>
      <c r="Y25" s="9">
        <f>IFERROR(VLOOKUP(B25, [1]LSD!A:C, 3, FALSE), 0)</f>
        <v>0</v>
      </c>
      <c r="Z25" s="9">
        <f>IFERROR(VLOOKUP(B25, [1]LSD!A:D, 4, FALSE), 0)</f>
        <v>0</v>
      </c>
      <c r="AA25" s="6">
        <f>IFERROR(VLOOKUP(B25, [1]PMK!A:B, 2, FALSE), 0)</f>
        <v>0</v>
      </c>
      <c r="AB25" s="6">
        <f>IFERROR(VLOOKUP(B25, [1]PMK!A:C, 3, FALSE), 0)</f>
        <v>29</v>
      </c>
      <c r="AC25" s="6">
        <f>IFERROR(VLOOKUP(B25, [1]PMK!A:D, 4, FALSE), 0)</f>
        <v>29</v>
      </c>
      <c r="AD25" s="6">
        <v>0</v>
      </c>
      <c r="AE25" s="6">
        <v>0</v>
      </c>
      <c r="AF25" s="6">
        <v>0</v>
      </c>
      <c r="AG25" s="6">
        <f>VLOOKUP(B25, [1]GHPR2024!B:S, 18, FALSE)</f>
        <v>44.217687074829932</v>
      </c>
      <c r="AH25" s="6">
        <f>VLOOKUP(B25, [1]GHPR2025!B:AE, 30, FALSE)</f>
        <v>25.116279069767444</v>
      </c>
      <c r="AI25" s="6">
        <f>VLOOKUP(B25, [1]Dengue2023!B:E, 4, FALSE)</f>
        <v>1031</v>
      </c>
      <c r="AJ25" s="6">
        <f>VLOOKUP(B25, [1]Dengue2024!B:E, 4, FALSE)</f>
        <v>5040</v>
      </c>
      <c r="AK25" s="6">
        <f>VLOOKUP(B25, [1]Food!D:G, 4, FALSE)</f>
        <v>89.47</v>
      </c>
      <c r="AL25" s="6">
        <f>VLOOKUP(B25, [1]IRBI!E:F, 2, FALSE)</f>
        <v>72.28</v>
      </c>
      <c r="AM25" s="10">
        <f t="shared" si="4"/>
        <v>0</v>
      </c>
      <c r="AN25" s="10">
        <f t="shared" si="5"/>
        <v>0</v>
      </c>
      <c r="AO25" s="6">
        <f t="shared" si="6"/>
        <v>58</v>
      </c>
      <c r="AP25" s="6">
        <f>VLOOKUP(B25, [1]StuntingSSGI!A:B, 2, FALSE)</f>
        <v>12.5</v>
      </c>
      <c r="AQ25" s="6">
        <f>VLOOKUP(B25, [1]StuntingSSGI!A:L, 12, FALSE)</f>
        <v>4.8999999999999995</v>
      </c>
      <c r="AR25" s="6">
        <f t="shared" si="7"/>
        <v>0</v>
      </c>
      <c r="AS25" s="6">
        <f t="shared" si="14"/>
        <v>-0.69232599278662044</v>
      </c>
      <c r="AT25" s="6">
        <f t="shared" si="14"/>
        <v>-0.57846052602366327</v>
      </c>
      <c r="AU25" s="6">
        <f t="shared" si="14"/>
        <v>0.13012599192386681</v>
      </c>
      <c r="AV25" s="6">
        <f t="shared" si="14"/>
        <v>-0.6332892452012614</v>
      </c>
      <c r="AW25" s="6">
        <f t="shared" si="14"/>
        <v>-0.35140020833130298</v>
      </c>
      <c r="AX25" s="6">
        <f t="shared" si="14"/>
        <v>-0.15927167194711406</v>
      </c>
      <c r="AY25" s="6">
        <f t="shared" si="14"/>
        <v>-0.34189023134392049</v>
      </c>
      <c r="AZ25" s="6">
        <f t="shared" si="14"/>
        <v>1.7941734463231336</v>
      </c>
      <c r="BA25" s="6">
        <f t="shared" si="14"/>
        <v>1.8920171185998034</v>
      </c>
      <c r="BB25" s="6">
        <f t="shared" si="14"/>
        <v>0.23798119806794094</v>
      </c>
      <c r="BC25" s="6">
        <f t="shared" si="14"/>
        <v>0.53982756572733592</v>
      </c>
      <c r="BD25" s="6">
        <f t="shared" si="14"/>
        <v>0.35534176841225001</v>
      </c>
      <c r="BE25" s="6">
        <f t="shared" si="14"/>
        <v>1.0307785682344268</v>
      </c>
      <c r="BF25" s="6">
        <f t="shared" si="14"/>
        <v>1.1145820161724971</v>
      </c>
      <c r="BG25" s="6">
        <f t="shared" si="14"/>
        <v>1.0146240169919536</v>
      </c>
      <c r="BH25" s="6">
        <f t="shared" si="14"/>
        <v>0.58470409403142776</v>
      </c>
      <c r="BI25" s="6">
        <f t="shared" si="9"/>
        <v>1.0235164351802624</v>
      </c>
      <c r="BJ25" s="6">
        <f t="shared" si="9"/>
        <v>1.0793466358889532</v>
      </c>
      <c r="BK25" s="6">
        <f t="shared" si="15"/>
        <v>-0.44614244817577825</v>
      </c>
      <c r="BL25" s="6">
        <f t="shared" si="15"/>
        <v>-0.19245008972987526</v>
      </c>
      <c r="BM25" s="6">
        <f t="shared" si="15"/>
        <v>-0.34414965772374678</v>
      </c>
      <c r="BN25" s="6">
        <f t="shared" si="15"/>
        <v>-0.85327902058065852</v>
      </c>
      <c r="BO25" s="6">
        <f t="shared" si="15"/>
        <v>-0.80410859391096701</v>
      </c>
      <c r="BP25" s="6">
        <f t="shared" si="15"/>
        <v>-0.36769283680818904</v>
      </c>
      <c r="BQ25" s="6">
        <f t="shared" si="15"/>
        <v>-1.3658911336187942</v>
      </c>
      <c r="BR25" s="6">
        <f t="shared" si="15"/>
        <v>-0.29385374590656071</v>
      </c>
      <c r="BS25" s="6">
        <f t="shared" si="15"/>
        <v>0.96890263788093134</v>
      </c>
      <c r="BT25" s="6">
        <v>0</v>
      </c>
      <c r="BU25" s="6">
        <f t="shared" si="11"/>
        <v>-0.19245008972987523</v>
      </c>
      <c r="BV25" s="6">
        <v>0</v>
      </c>
      <c r="BW25" s="6">
        <f t="shared" si="18"/>
        <v>-0.59901979883659406</v>
      </c>
      <c r="BX25" s="6">
        <f t="shared" si="18"/>
        <v>-1.1881961532201293</v>
      </c>
      <c r="BY25" s="6">
        <f t="shared" si="18"/>
        <v>0.59553494176196908</v>
      </c>
      <c r="BZ25" s="6">
        <f t="shared" si="17"/>
        <v>1.6804411313184027</v>
      </c>
      <c r="CA25" s="6">
        <f t="shared" si="17"/>
        <v>1.3294170189018388</v>
      </c>
      <c r="CB25" s="6">
        <f t="shared" si="17"/>
        <v>-1.5165304857865256</v>
      </c>
      <c r="CC25" s="6">
        <f t="shared" si="17"/>
        <v>-0.28275841728929912</v>
      </c>
      <c r="CD25" s="6">
        <f t="shared" si="17"/>
        <v>-0.6667522358796133</v>
      </c>
      <c r="CE25" s="6">
        <f t="shared" si="17"/>
        <v>-0.64127949434569576</v>
      </c>
      <c r="CF25" s="6">
        <f t="shared" si="17"/>
        <v>-1.0971485408825503</v>
      </c>
      <c r="CG25" s="6">
        <f t="shared" si="17"/>
        <v>3.7041236589176671E-2</v>
      </c>
      <c r="CH25" s="6">
        <f t="shared" si="17"/>
        <v>-0.19245008972987523</v>
      </c>
      <c r="CK25" s="6">
        <f t="shared" si="16"/>
        <v>0</v>
      </c>
      <c r="CL25" s="6">
        <f t="shared" si="16"/>
        <v>0</v>
      </c>
      <c r="CM25" s="6">
        <f t="shared" si="16"/>
        <v>0</v>
      </c>
      <c r="CN25" s="6">
        <f t="shared" si="16"/>
        <v>0</v>
      </c>
      <c r="CO25" s="6">
        <f t="shared" si="16"/>
        <v>0</v>
      </c>
      <c r="CP25" s="6">
        <f t="shared" si="16"/>
        <v>0</v>
      </c>
      <c r="CQ25" s="6">
        <f t="shared" si="16"/>
        <v>0</v>
      </c>
      <c r="CR25" s="6">
        <f t="shared" si="16"/>
        <v>3.4011973816621555</v>
      </c>
      <c r="CS25" s="6">
        <f t="shared" si="16"/>
        <v>3.4011973816621555</v>
      </c>
    </row>
    <row r="26" spans="1:97" x14ac:dyDescent="0.2">
      <c r="A26" s="8">
        <v>25</v>
      </c>
      <c r="B26" s="1" t="s">
        <v>78</v>
      </c>
      <c r="C26" s="2">
        <f>VLOOKUP(B26, '[1]1. persentasi stunting'!B:C, 2, FALSE)</f>
        <v>9.34</v>
      </c>
      <c r="D26" s="2">
        <f>VLOOKUP(B26, '[1]1. persentasi stunting'!B:D, 3, FALSE)</f>
        <v>9.56</v>
      </c>
      <c r="E26" s="2">
        <f>VLOOKUP(B26, '[1]1. persentasi stunting'!B:E, 4, FALSE)</f>
        <v>14.87</v>
      </c>
      <c r="F26" s="2">
        <f>VLOOKUP(B26, '[1]2.  WASTING DAN SEVERE W'!B:C, 2, FALSE)</f>
        <v>2.8</v>
      </c>
      <c r="G26" s="2">
        <f>VLOOKUP(B26, '[1]2.  WASTING DAN SEVERE W'!B:D, 3, FALSE)</f>
        <v>3.18</v>
      </c>
      <c r="H26" s="2">
        <f>VLOOKUP(B26, '[1]2.  WASTING DAN SEVERE W'!B:E, 4, FALSE)</f>
        <v>4.16</v>
      </c>
      <c r="I26" s="2">
        <f>VLOOKUP(B26, '[1]3. IMUNISASI DASAR LENGKAP'!B:C, 2, FALSE)</f>
        <v>94.5</v>
      </c>
      <c r="J26" s="2">
        <f>VLOOKUP(B26, '[1]3. IMUNISASI DASAR LENGKAP'!B:D, 3, FALSE)</f>
        <v>98</v>
      </c>
      <c r="K26" s="2">
        <f>VLOOKUP(B26, '[1]3. IMUNISASI DASAR LENGKAP'!B:E, 4, FALSE)</f>
        <v>98.6</v>
      </c>
      <c r="L26" s="2">
        <f>VLOOKUP(B26, '[1]4. GIZI BURUK'!B:C, 2, FALSE)</f>
        <v>100</v>
      </c>
      <c r="M26" s="2">
        <f>VLOOKUP(B26, '[1]4. GIZI BURUK'!B:D, 3, FALSE)</f>
        <v>100</v>
      </c>
      <c r="N26" s="2">
        <f>VLOOKUP(B26, '[1]4. GIZI BURUK'!B:E, 4, FALSE)</f>
        <v>100</v>
      </c>
      <c r="O26" s="2">
        <f>VLOOKUP(B26, '[1]5. KUNJUNGAN ANTENATAL K6'!B:C, 2, FALSE)</f>
        <v>86.6</v>
      </c>
      <c r="P26" s="2">
        <f>VLOOKUP(B26, '[1]5. KUNJUNGAN ANTENATAL K6'!B:D, 3, FALSE)</f>
        <v>95.6</v>
      </c>
      <c r="Q26" s="2">
        <f>VLOOKUP(B26, '[1]5. KUNJUNGAN ANTENATAL K6'!B:E, 4, FALSE)</f>
        <v>97.22</v>
      </c>
      <c r="R26" s="2">
        <f>VLOOKUP(B26, '[1]6. PF'!B:C, 2, FALSE)</f>
        <v>99.6</v>
      </c>
      <c r="S26" s="2">
        <f>VLOOKUP(B26, '[1]6. PF'!B:D, 3, FALSE)</f>
        <v>100.47</v>
      </c>
      <c r="T26" s="2">
        <f>VLOOKUP(B26, '[1]6. PF'!B:E, 4, FALSE)</f>
        <v>96.49</v>
      </c>
      <c r="U26" s="9">
        <f>IFERROR(VLOOKUP(B26, [1]HPAI!A:B, 2, FALSE), 0)</f>
        <v>0</v>
      </c>
      <c r="V26" s="9">
        <f>IFERROR(VLOOKUP(B26, [1]HPAI!A:C, 3, FALSE), 0)</f>
        <v>0</v>
      </c>
      <c r="W26" s="9">
        <f>IFERROR(VLOOKUP(B26, [1]HPAI!A:D, 4, FALSE), 0)</f>
        <v>0</v>
      </c>
      <c r="X26" s="9">
        <f>IFERROR(VLOOKUP(B26, [1]LSD!A:B, 2, FALSE), 0)</f>
        <v>4</v>
      </c>
      <c r="Y26" s="9">
        <f>IFERROR(VLOOKUP(B26, [1]LSD!A:C, 3, FALSE), 0)</f>
        <v>0</v>
      </c>
      <c r="Z26" s="9">
        <f>IFERROR(VLOOKUP(B26, [1]LSD!A:D, 4, FALSE), 0)</f>
        <v>0</v>
      </c>
      <c r="AA26" s="6">
        <f>IFERROR(VLOOKUP(B26, [1]PMK!A:B, 2, FALSE), 0)</f>
        <v>0</v>
      </c>
      <c r="AB26" s="6">
        <f>IFERROR(VLOOKUP(B26, [1]PMK!A:C, 3, FALSE), 0)</f>
        <v>53</v>
      </c>
      <c r="AC26" s="6">
        <f>IFERROR(VLOOKUP(B26, [1]PMK!A:D, 4, FALSE), 0)</f>
        <v>0</v>
      </c>
      <c r="AD26" s="6">
        <v>0</v>
      </c>
      <c r="AE26" s="6">
        <v>0</v>
      </c>
      <c r="AF26" s="6">
        <v>0</v>
      </c>
      <c r="AG26" s="6">
        <f>VLOOKUP(B26, [1]GHPR2024!B:S, 18, FALSE)</f>
        <v>45.945945945945951</v>
      </c>
      <c r="AH26" s="6">
        <f>VLOOKUP(B26, [1]GHPR2025!B:AE, 30, FALSE)</f>
        <v>55.670103092783506</v>
      </c>
      <c r="AI26" s="6">
        <f>VLOOKUP(B26, [1]Dengue2023!B:E, 4, FALSE)</f>
        <v>350</v>
      </c>
      <c r="AJ26" s="6">
        <f>VLOOKUP(B26, [1]Dengue2024!B:E, 4, FALSE)</f>
        <v>850</v>
      </c>
      <c r="AK26" s="6">
        <f>VLOOKUP(B26, [1]Food!D:G, 4, FALSE)</f>
        <v>87.17</v>
      </c>
      <c r="AL26" s="6">
        <f>VLOOKUP(B26, [1]IRBI!E:F, 2, FALSE)</f>
        <v>65.77</v>
      </c>
      <c r="AM26" s="10">
        <f t="shared" si="4"/>
        <v>0</v>
      </c>
      <c r="AN26" s="10">
        <f t="shared" si="5"/>
        <v>4</v>
      </c>
      <c r="AO26" s="6">
        <f t="shared" si="6"/>
        <v>53</v>
      </c>
      <c r="AP26" s="6">
        <f>VLOOKUP(B26, [1]StuntingSSGI!A:B, 2, FALSE)</f>
        <v>22.3</v>
      </c>
      <c r="AQ26" s="6">
        <f>VLOOKUP(B26, [1]StuntingSSGI!A:L, 12, FALSE)</f>
        <v>4</v>
      </c>
      <c r="AR26" s="6">
        <f t="shared" si="7"/>
        <v>0</v>
      </c>
      <c r="AS26" s="6">
        <f t="shared" si="14"/>
        <v>1.048345869945325</v>
      </c>
      <c r="AT26" s="6">
        <f t="shared" si="14"/>
        <v>1.1234023845408545</v>
      </c>
      <c r="AU26" s="6">
        <f t="shared" si="14"/>
        <v>1.6444817359603059</v>
      </c>
      <c r="AV26" s="6">
        <f t="shared" si="14"/>
        <v>-0.47569652980555593</v>
      </c>
      <c r="AW26" s="6">
        <f t="shared" si="14"/>
        <v>-0.33834958161198364</v>
      </c>
      <c r="AX26" s="6">
        <f t="shared" si="14"/>
        <v>0.26284711505382685</v>
      </c>
      <c r="AY26" s="6">
        <f t="shared" si="14"/>
        <v>-0.47471089675810535</v>
      </c>
      <c r="AZ26" s="6">
        <f t="shared" si="14"/>
        <v>0.6021782925159328</v>
      </c>
      <c r="BA26" s="6">
        <f t="shared" si="14"/>
        <v>0.79788292896980062</v>
      </c>
      <c r="BB26" s="6">
        <f t="shared" si="14"/>
        <v>0.23798119806794094</v>
      </c>
      <c r="BC26" s="6">
        <f t="shared" si="14"/>
        <v>0.53982756572733592</v>
      </c>
      <c r="BD26" s="6">
        <f t="shared" si="14"/>
        <v>0.35534176841225001</v>
      </c>
      <c r="BE26" s="6">
        <f t="shared" si="14"/>
        <v>0.2943656124193188</v>
      </c>
      <c r="BF26" s="6">
        <f t="shared" si="14"/>
        <v>0.74295040370745968</v>
      </c>
      <c r="BG26" s="6">
        <f t="shared" si="14"/>
        <v>0.82006029197868746</v>
      </c>
      <c r="BH26" s="6">
        <f t="shared" si="14"/>
        <v>0.52677011040262489</v>
      </c>
      <c r="BI26" s="6">
        <f t="shared" si="9"/>
        <v>1.0638857506599586</v>
      </c>
      <c r="BJ26" s="6">
        <f t="shared" si="9"/>
        <v>0.83034066929149408</v>
      </c>
      <c r="BK26" s="6">
        <f t="shared" si="15"/>
        <v>-0.44614244817577825</v>
      </c>
      <c r="BL26" s="6">
        <f t="shared" si="15"/>
        <v>-0.19245008972987526</v>
      </c>
      <c r="BM26" s="6">
        <f t="shared" si="15"/>
        <v>-0.34414965772374678</v>
      </c>
      <c r="BN26" s="6">
        <f t="shared" si="15"/>
        <v>1.1127391720561911E-2</v>
      </c>
      <c r="BO26" s="6">
        <f t="shared" si="15"/>
        <v>-0.80410859391096701</v>
      </c>
      <c r="BP26" s="6">
        <f t="shared" si="15"/>
        <v>-0.36769283680818904</v>
      </c>
      <c r="BQ26" s="6">
        <f t="shared" si="15"/>
        <v>-1.3658911336187942</v>
      </c>
      <c r="BR26" s="6">
        <f t="shared" si="15"/>
        <v>1.7116549353194035E-2</v>
      </c>
      <c r="BS26" s="6">
        <f t="shared" si="15"/>
        <v>-0.72739008743679756</v>
      </c>
      <c r="BT26" s="6">
        <v>0</v>
      </c>
      <c r="BU26" s="6">
        <f t="shared" si="11"/>
        <v>-0.19245008972987523</v>
      </c>
      <c r="BV26" s="6">
        <v>0</v>
      </c>
      <c r="BW26" s="6">
        <f t="shared" si="18"/>
        <v>-0.54433413627748561</v>
      </c>
      <c r="BX26" s="6">
        <f t="shared" si="18"/>
        <v>-0.1795898266516284</v>
      </c>
      <c r="BY26" s="6">
        <f t="shared" si="18"/>
        <v>-0.69134964798739329</v>
      </c>
      <c r="BZ26" s="6">
        <f t="shared" si="17"/>
        <v>-0.86598191254956558</v>
      </c>
      <c r="CA26" s="6">
        <f t="shared" si="17"/>
        <v>0.90947298881992189</v>
      </c>
      <c r="CB26" s="6">
        <f t="shared" si="17"/>
        <v>-1.7523037733793518</v>
      </c>
      <c r="CC26" s="6">
        <f t="shared" si="17"/>
        <v>-0.28275841728929912</v>
      </c>
      <c r="CD26" s="6">
        <f t="shared" si="17"/>
        <v>-0.60844515776220576</v>
      </c>
      <c r="CE26" s="6">
        <f t="shared" si="17"/>
        <v>-0.65256373987967242</v>
      </c>
      <c r="CF26" s="6">
        <f t="shared" si="17"/>
        <v>0.91467061308503539</v>
      </c>
      <c r="CG26" s="6">
        <f t="shared" si="17"/>
        <v>-0.49243055700906613</v>
      </c>
      <c r="CH26" s="6">
        <f t="shared" si="17"/>
        <v>-0.19245008972987523</v>
      </c>
      <c r="CK26" s="6">
        <f t="shared" si="16"/>
        <v>0</v>
      </c>
      <c r="CL26" s="6">
        <f t="shared" si="16"/>
        <v>0</v>
      </c>
      <c r="CM26" s="6">
        <f t="shared" si="16"/>
        <v>0</v>
      </c>
      <c r="CN26" s="6">
        <f t="shared" si="16"/>
        <v>1.6094379124341003</v>
      </c>
      <c r="CO26" s="6">
        <f t="shared" si="16"/>
        <v>0</v>
      </c>
      <c r="CP26" s="6">
        <f t="shared" si="16"/>
        <v>0</v>
      </c>
      <c r="CQ26" s="6">
        <f t="shared" si="16"/>
        <v>0</v>
      </c>
      <c r="CR26" s="6">
        <f t="shared" si="16"/>
        <v>3.9889840465642745</v>
      </c>
      <c r="CS26" s="6">
        <f t="shared" si="16"/>
        <v>0</v>
      </c>
    </row>
    <row r="27" spans="1:97" x14ac:dyDescent="0.2">
      <c r="A27" s="8">
        <v>26</v>
      </c>
      <c r="B27" s="1" t="s">
        <v>79</v>
      </c>
      <c r="C27" s="2">
        <f>VLOOKUP(B27, '[1]1. persentasi stunting'!B:C, 2, FALSE)</f>
        <v>10.75</v>
      </c>
      <c r="D27" s="2">
        <f>VLOOKUP(B27, '[1]1. persentasi stunting'!B:D, 3, FALSE)</f>
        <v>10.86</v>
      </c>
      <c r="E27" s="2">
        <f>VLOOKUP(B27, '[1]1. persentasi stunting'!B:E, 4, FALSE)</f>
        <v>15.58</v>
      </c>
      <c r="F27" s="2">
        <f>VLOOKUP(B27, '[1]2.  WASTING DAN SEVERE W'!B:C, 2, FALSE)</f>
        <v>4.3</v>
      </c>
      <c r="G27" s="2">
        <f>VLOOKUP(B27, '[1]2.  WASTING DAN SEVERE W'!B:D, 3, FALSE)</f>
        <v>4.1399999999999997</v>
      </c>
      <c r="H27" s="2">
        <f>VLOOKUP(B27, '[1]2.  WASTING DAN SEVERE W'!B:E, 4, FALSE)</f>
        <v>4.8499999999999996</v>
      </c>
      <c r="I27" s="2">
        <f>VLOOKUP(B27, '[1]3. IMUNISASI DASAR LENGKAP'!B:C, 2, FALSE)</f>
        <v>99.5</v>
      </c>
      <c r="J27" s="2">
        <f>VLOOKUP(B27, '[1]3. IMUNISASI DASAR LENGKAP'!B:D, 3, FALSE)</f>
        <v>83.7</v>
      </c>
      <c r="K27" s="2">
        <f>VLOOKUP(B27, '[1]3. IMUNISASI DASAR LENGKAP'!B:E, 4, FALSE)</f>
        <v>90.100000000000009</v>
      </c>
      <c r="L27" s="2">
        <f>VLOOKUP(B27, '[1]4. GIZI BURUK'!B:C, 2, FALSE)</f>
        <v>100</v>
      </c>
      <c r="M27" s="2">
        <f>VLOOKUP(B27, '[1]4. GIZI BURUK'!B:D, 3, FALSE)</f>
        <v>100</v>
      </c>
      <c r="N27" s="2">
        <f>VLOOKUP(B27, '[1]4. GIZI BURUK'!B:E, 4, FALSE)</f>
        <v>100</v>
      </c>
      <c r="O27" s="2">
        <f>VLOOKUP(B27, '[1]5. KUNJUNGAN ANTENATAL K6'!B:C, 2, FALSE)</f>
        <v>84.2</v>
      </c>
      <c r="P27" s="2">
        <f>VLOOKUP(B27, '[1]5. KUNJUNGAN ANTENATAL K6'!B:D, 3, FALSE)</f>
        <v>82.3</v>
      </c>
      <c r="Q27" s="2">
        <f>VLOOKUP(B27, '[1]5. KUNJUNGAN ANTENATAL K6'!B:E, 4, FALSE)</f>
        <v>85.33</v>
      </c>
      <c r="R27" s="2">
        <f>VLOOKUP(B27, '[1]6. PF'!B:C, 2, FALSE)</f>
        <v>97.8</v>
      </c>
      <c r="S27" s="2">
        <f>VLOOKUP(B27, '[1]6. PF'!B:D, 3, FALSE)</f>
        <v>81.099999999999994</v>
      </c>
      <c r="T27" s="2">
        <f>VLOOKUP(B27, '[1]6. PF'!B:E, 4, FALSE)</f>
        <v>80.77</v>
      </c>
      <c r="U27" s="9">
        <f>IFERROR(VLOOKUP(B27, [1]HPAI!A:B, 2, FALSE), 0)</f>
        <v>0</v>
      </c>
      <c r="V27" s="9">
        <f>IFERROR(VLOOKUP(B27, [1]HPAI!A:C, 3, FALSE), 0)</f>
        <v>0</v>
      </c>
      <c r="W27" s="9">
        <f>IFERROR(VLOOKUP(B27, [1]HPAI!A:D, 4, FALSE), 0)</f>
        <v>0</v>
      </c>
      <c r="X27" s="9">
        <f>IFERROR(VLOOKUP(B27, [1]LSD!A:B, 2, FALSE), 0)</f>
        <v>7</v>
      </c>
      <c r="Y27" s="9">
        <f>IFERROR(VLOOKUP(B27, [1]LSD!A:C, 3, FALSE), 0)</f>
        <v>0</v>
      </c>
      <c r="Z27" s="9">
        <f>IFERROR(VLOOKUP(B27, [1]LSD!A:D, 4, FALSE), 0)</f>
        <v>0</v>
      </c>
      <c r="AA27" s="6">
        <f>IFERROR(VLOOKUP(B27, [1]PMK!A:B, 2, FALSE), 0)</f>
        <v>25</v>
      </c>
      <c r="AB27" s="6">
        <f>IFERROR(VLOOKUP(B27, [1]PMK!A:C, 3, FALSE), 0)</f>
        <v>0</v>
      </c>
      <c r="AC27" s="6">
        <f>IFERROR(VLOOKUP(B27, [1]PMK!A:D, 4, FALSE), 0)</f>
        <v>0</v>
      </c>
      <c r="AD27" s="6">
        <v>0</v>
      </c>
      <c r="AE27" s="6">
        <v>0</v>
      </c>
      <c r="AF27" s="6">
        <v>0</v>
      </c>
      <c r="AG27" s="6">
        <f>VLOOKUP(B27, [1]GHPR2024!B:S, 18, FALSE)</f>
        <v>37.349397590361441</v>
      </c>
      <c r="AH27" s="6">
        <f>VLOOKUP(B27, [1]GHPR2025!B:AE, 30, FALSE)</f>
        <v>32.03125</v>
      </c>
      <c r="AI27" s="6">
        <f>VLOOKUP(B27, [1]Dengue2023!B:E, 4, FALSE)</f>
        <v>353</v>
      </c>
      <c r="AJ27" s="6">
        <f>VLOOKUP(B27, [1]Dengue2024!B:E, 4, FALSE)</f>
        <v>1777</v>
      </c>
      <c r="AK27" s="6">
        <f>VLOOKUP(B27, [1]Food!D:G, 4, FALSE)</f>
        <v>72.709999999999994</v>
      </c>
      <c r="AL27" s="6">
        <f>VLOOKUP(B27, [1]IRBI!E:F, 2, FALSE)</f>
        <v>97.13</v>
      </c>
      <c r="AM27" s="10">
        <f t="shared" si="4"/>
        <v>0</v>
      </c>
      <c r="AN27" s="10">
        <f t="shared" si="5"/>
        <v>7</v>
      </c>
      <c r="AO27" s="6">
        <f t="shared" si="6"/>
        <v>25</v>
      </c>
      <c r="AP27" s="6">
        <f>VLOOKUP(B27, [1]StuntingSSGI!A:B, 2, FALSE)</f>
        <v>19.600000000000001</v>
      </c>
      <c r="AQ27" s="6">
        <f>VLOOKUP(B27, [1]StuntingSSGI!A:L, 12, FALSE)</f>
        <v>4.2</v>
      </c>
      <c r="AR27" s="6">
        <f t="shared" si="7"/>
        <v>0</v>
      </c>
      <c r="AS27" s="6">
        <f t="shared" si="14"/>
        <v>1.454023113986985</v>
      </c>
      <c r="AT27" s="6">
        <f t="shared" si="14"/>
        <v>1.4933725824896624</v>
      </c>
      <c r="AU27" s="6">
        <f t="shared" si="14"/>
        <v>1.8156907452383111</v>
      </c>
      <c r="AV27" s="6">
        <f t="shared" si="14"/>
        <v>0.50925794141760372</v>
      </c>
      <c r="AW27" s="6">
        <f t="shared" si="14"/>
        <v>0.28808050091534615</v>
      </c>
      <c r="AX27" s="6">
        <f t="shared" si="14"/>
        <v>0.71794393228921582</v>
      </c>
      <c r="AY27" s="6">
        <f t="shared" si="14"/>
        <v>0.18939243031281885</v>
      </c>
      <c r="AZ27" s="6">
        <f t="shared" si="14"/>
        <v>-0.53419042078026624</v>
      </c>
      <c r="BA27" s="6">
        <f t="shared" si="14"/>
        <v>9.3326822011088842E-2</v>
      </c>
      <c r="BB27" s="6">
        <f t="shared" si="14"/>
        <v>0.23798119806794094</v>
      </c>
      <c r="BC27" s="6">
        <f t="shared" si="14"/>
        <v>0.53982756572733592</v>
      </c>
      <c r="BD27" s="6">
        <f t="shared" si="14"/>
        <v>0.35534176841225001</v>
      </c>
      <c r="BE27" s="6">
        <f t="shared" si="14"/>
        <v>7.8830113156361237E-2</v>
      </c>
      <c r="BF27" s="6">
        <f t="shared" si="14"/>
        <v>-0.38039060669821984</v>
      </c>
      <c r="BG27" s="6">
        <f t="shared" si="14"/>
        <v>-2.8108759852057779E-4</v>
      </c>
      <c r="BH27" s="6">
        <f t="shared" si="14"/>
        <v>0.26606718407301633</v>
      </c>
      <c r="BI27" s="6">
        <f t="shared" si="9"/>
        <v>-0.59984540006710152</v>
      </c>
      <c r="BJ27" s="6">
        <f t="shared" si="9"/>
        <v>-0.304260430683014</v>
      </c>
      <c r="BK27" s="6">
        <f t="shared" si="15"/>
        <v>-0.44614244817577825</v>
      </c>
      <c r="BL27" s="6">
        <f t="shared" si="15"/>
        <v>-0.19245008972987526</v>
      </c>
      <c r="BM27" s="6">
        <f t="shared" si="15"/>
        <v>-0.34414965772374678</v>
      </c>
      <c r="BN27" s="6">
        <f t="shared" si="15"/>
        <v>0.26355971469872114</v>
      </c>
      <c r="BO27" s="6">
        <f t="shared" si="15"/>
        <v>-0.80410859391096701</v>
      </c>
      <c r="BP27" s="6">
        <f t="shared" si="15"/>
        <v>-0.36769283680818904</v>
      </c>
      <c r="BQ27" s="6">
        <f t="shared" si="15"/>
        <v>-4.5365546648101607E-2</v>
      </c>
      <c r="BR27" s="6">
        <f t="shared" si="15"/>
        <v>-2.0932674059430871</v>
      </c>
      <c r="BS27" s="6">
        <f t="shared" si="15"/>
        <v>-0.72739008743679756</v>
      </c>
      <c r="BT27" s="6">
        <v>0</v>
      </c>
      <c r="BU27" s="6">
        <f t="shared" si="11"/>
        <v>-0.19245008972987523</v>
      </c>
      <c r="BV27" s="6">
        <v>0</v>
      </c>
      <c r="BW27" s="6">
        <f t="shared" si="18"/>
        <v>-0.81634659367224049</v>
      </c>
      <c r="BX27" s="6">
        <f t="shared" si="18"/>
        <v>-0.95992739632030621</v>
      </c>
      <c r="BY27" s="6">
        <f t="shared" si="18"/>
        <v>-0.68568055287836527</v>
      </c>
      <c r="BZ27" s="6">
        <f t="shared" si="17"/>
        <v>-0.30260860427615116</v>
      </c>
      <c r="CA27" s="6">
        <f t="shared" si="17"/>
        <v>-1.7306968698690035</v>
      </c>
      <c r="CB27" s="6">
        <f t="shared" si="17"/>
        <v>-0.6165356783085334</v>
      </c>
      <c r="CC27" s="6">
        <f t="shared" si="17"/>
        <v>-0.28275841728929912</v>
      </c>
      <c r="CD27" s="6">
        <f t="shared" si="17"/>
        <v>-0.56471484917415016</v>
      </c>
      <c r="CE27" s="6">
        <f t="shared" si="17"/>
        <v>-0.71575551486994171</v>
      </c>
      <c r="CF27" s="6">
        <f t="shared" si="17"/>
        <v>0.36039390740008848</v>
      </c>
      <c r="CG27" s="6">
        <f t="shared" si="17"/>
        <v>-0.37477015843167866</v>
      </c>
      <c r="CH27" s="6">
        <f t="shared" si="17"/>
        <v>-0.19245008972987523</v>
      </c>
      <c r="CK27" s="6">
        <f t="shared" si="16"/>
        <v>0</v>
      </c>
      <c r="CL27" s="6">
        <f t="shared" si="16"/>
        <v>0</v>
      </c>
      <c r="CM27" s="6">
        <f t="shared" si="16"/>
        <v>0</v>
      </c>
      <c r="CN27" s="6">
        <f t="shared" si="16"/>
        <v>2.0794415416798357</v>
      </c>
      <c r="CO27" s="6">
        <f t="shared" si="16"/>
        <v>0</v>
      </c>
      <c r="CP27" s="6">
        <f t="shared" si="16"/>
        <v>0</v>
      </c>
      <c r="CQ27" s="6">
        <f t="shared" si="16"/>
        <v>3.2580965380214821</v>
      </c>
      <c r="CR27" s="6">
        <f t="shared" si="16"/>
        <v>0</v>
      </c>
      <c r="CS27" s="6">
        <f t="shared" si="16"/>
        <v>0</v>
      </c>
    </row>
    <row r="28" spans="1:97" x14ac:dyDescent="0.2">
      <c r="A28" s="8">
        <v>27</v>
      </c>
      <c r="B28" s="1" t="s">
        <v>80</v>
      </c>
      <c r="C28" s="2">
        <f>VLOOKUP(B28, '[1]1. persentasi stunting'!B:C, 2, FALSE)</f>
        <v>7.19</v>
      </c>
      <c r="D28" s="2">
        <f>VLOOKUP(B28, '[1]1. persentasi stunting'!B:D, 3, FALSE)</f>
        <v>5.87</v>
      </c>
      <c r="E28" s="2">
        <f>VLOOKUP(B28, '[1]1. persentasi stunting'!B:E, 4, FALSE)</f>
        <v>6.26</v>
      </c>
      <c r="F28" s="2">
        <f>VLOOKUP(B28, '[1]2.  WASTING DAN SEVERE W'!B:C, 2, FALSE)</f>
        <v>6.51</v>
      </c>
      <c r="G28" s="2">
        <f>VLOOKUP(B28, '[1]2.  WASTING DAN SEVERE W'!B:D, 3, FALSE)</f>
        <v>6.13</v>
      </c>
      <c r="H28" s="2">
        <f>VLOOKUP(B28, '[1]2.  WASTING DAN SEVERE W'!B:E, 4, FALSE)</f>
        <v>6.67</v>
      </c>
      <c r="I28" s="2">
        <f>VLOOKUP(B28, '[1]3. IMUNISASI DASAR LENGKAP'!B:C, 2, FALSE)</f>
        <v>95.5</v>
      </c>
      <c r="J28" s="2">
        <f>VLOOKUP(B28, '[1]3. IMUNISASI DASAR LENGKAP'!B:D, 3, FALSE)</f>
        <v>75.3</v>
      </c>
      <c r="K28" s="2">
        <f>VLOOKUP(B28, '[1]3. IMUNISASI DASAR LENGKAP'!B:E, 4, FALSE)</f>
        <v>74.900000000000006</v>
      </c>
      <c r="L28" s="2">
        <f>VLOOKUP(B28, '[1]4. GIZI BURUK'!B:C, 2, FALSE)</f>
        <v>100</v>
      </c>
      <c r="M28" s="2">
        <f>VLOOKUP(B28, '[1]4. GIZI BURUK'!B:D, 3, FALSE)</f>
        <v>94.12</v>
      </c>
      <c r="N28" s="2">
        <f>VLOOKUP(B28, '[1]4. GIZI BURUK'!B:E, 4, FALSE)</f>
        <v>100</v>
      </c>
      <c r="O28" s="2">
        <f>VLOOKUP(B28, '[1]5. KUNJUNGAN ANTENATAL K6'!B:C, 2, FALSE)</f>
        <v>88.4</v>
      </c>
      <c r="P28" s="2">
        <f>VLOOKUP(B28, '[1]5. KUNJUNGAN ANTENATAL K6'!B:D, 3, FALSE)</f>
        <v>68.400000000000006</v>
      </c>
      <c r="Q28" s="2">
        <f>VLOOKUP(B28, '[1]5. KUNJUNGAN ANTENATAL K6'!B:E, 4, FALSE)</f>
        <v>60.14</v>
      </c>
      <c r="R28" s="2">
        <f>VLOOKUP(B28, '[1]6. PF'!B:C, 2, FALSE)</f>
        <v>97.2</v>
      </c>
      <c r="S28" s="2">
        <f>VLOOKUP(B28, '[1]6. PF'!B:D, 3, FALSE)</f>
        <v>65.47</v>
      </c>
      <c r="T28" s="2">
        <f>VLOOKUP(B28, '[1]6. PF'!B:E, 4, FALSE)</f>
        <v>58.24</v>
      </c>
      <c r="U28" s="9">
        <f>IFERROR(VLOOKUP(B28, [1]HPAI!A:B, 2, FALSE), 0)</f>
        <v>0</v>
      </c>
      <c r="V28" s="9">
        <f>IFERROR(VLOOKUP(B28, [1]HPAI!A:C, 3, FALSE), 0)</f>
        <v>0</v>
      </c>
      <c r="W28" s="9">
        <f>IFERROR(VLOOKUP(B28, [1]HPAI!A:D, 4, FALSE), 0)</f>
        <v>0</v>
      </c>
      <c r="X28" s="9">
        <f>IFERROR(VLOOKUP(B28, [1]LSD!A:B, 2, FALSE), 0)</f>
        <v>0</v>
      </c>
      <c r="Y28" s="9">
        <f>IFERROR(VLOOKUP(B28, [1]LSD!A:C, 3, FALSE), 0)</f>
        <v>0</v>
      </c>
      <c r="Z28" s="9">
        <f>IFERROR(VLOOKUP(B28, [1]LSD!A:D, 4, FALSE), 0)</f>
        <v>0</v>
      </c>
      <c r="AA28" s="6">
        <f>IFERROR(VLOOKUP(B28, [1]PMK!A:B, 2, FALSE), 0)</f>
        <v>50</v>
      </c>
      <c r="AB28" s="6">
        <f>IFERROR(VLOOKUP(B28, [1]PMK!A:C, 3, FALSE), 0)</f>
        <v>33</v>
      </c>
      <c r="AC28" s="6">
        <f>IFERROR(VLOOKUP(B28, [1]PMK!A:D, 4, FALSE), 0)</f>
        <v>72</v>
      </c>
      <c r="AD28" s="6">
        <v>0</v>
      </c>
      <c r="AE28" s="6">
        <v>0</v>
      </c>
      <c r="AF28" s="6">
        <v>0</v>
      </c>
      <c r="AG28" s="6">
        <f>VLOOKUP(B28, [1]GHPR2024!B:S, 18, FALSE)</f>
        <v>67.307692307692307</v>
      </c>
      <c r="AH28" s="6">
        <f>VLOOKUP(B28, [1]GHPR2025!B:AE, 30, FALSE)</f>
        <v>53.125</v>
      </c>
      <c r="AI28" s="6">
        <f>VLOOKUP(B28, [1]Dengue2023!B:E, 4, FALSE)</f>
        <v>53</v>
      </c>
      <c r="AJ28" s="6">
        <f>VLOOKUP(B28, [1]Dengue2024!B:E, 4, FALSE)</f>
        <v>400</v>
      </c>
      <c r="AK28" s="6">
        <f>VLOOKUP(B28, [1]Food!D:G, 4, FALSE)</f>
        <v>79.55</v>
      </c>
      <c r="AL28" s="6">
        <f>VLOOKUP(B28, [1]IRBI!E:F, 2, FALSE)</f>
        <v>116.26</v>
      </c>
      <c r="AM28" s="10">
        <f t="shared" si="4"/>
        <v>0</v>
      </c>
      <c r="AN28" s="10">
        <f t="shared" si="5"/>
        <v>0</v>
      </c>
      <c r="AO28" s="6">
        <f t="shared" si="6"/>
        <v>155</v>
      </c>
      <c r="AP28" s="6">
        <f>VLOOKUP(B28, [1]StuntingSSGI!A:B, 2, FALSE)</f>
        <v>18.8</v>
      </c>
      <c r="AQ28" s="6">
        <f>VLOOKUP(B28, [1]StuntingSSGI!A:L, 12, FALSE)</f>
        <v>5.8</v>
      </c>
      <c r="AR28" s="6">
        <f t="shared" si="7"/>
        <v>0</v>
      </c>
      <c r="AS28" s="6">
        <f t="shared" si="14"/>
        <v>0.42976000137116266</v>
      </c>
      <c r="AT28" s="6">
        <f t="shared" si="14"/>
        <v>7.3256207286160446E-2</v>
      </c>
      <c r="AU28" s="6">
        <f t="shared" si="14"/>
        <v>-0.43172892584761463</v>
      </c>
      <c r="AV28" s="6">
        <f t="shared" si="14"/>
        <v>1.9604241956863924</v>
      </c>
      <c r="AW28" s="6">
        <f t="shared" si="14"/>
        <v>1.5866178594876243</v>
      </c>
      <c r="AX28" s="6">
        <f t="shared" si="14"/>
        <v>1.9183442328231415</v>
      </c>
      <c r="AY28" s="6">
        <f t="shared" si="14"/>
        <v>-0.34189023134392049</v>
      </c>
      <c r="AZ28" s="6">
        <f t="shared" si="14"/>
        <v>-1.2017077069122997</v>
      </c>
      <c r="BA28" s="6">
        <f t="shared" si="14"/>
        <v>-1.1665852751386099</v>
      </c>
      <c r="BB28" s="6">
        <f t="shared" si="14"/>
        <v>0.23798119806794094</v>
      </c>
      <c r="BC28" s="6">
        <f t="shared" si="14"/>
        <v>5.3099803716477809E-2</v>
      </c>
      <c r="BD28" s="6">
        <f t="shared" si="14"/>
        <v>0.35534176841225001</v>
      </c>
      <c r="BE28" s="6">
        <f t="shared" si="14"/>
        <v>0.45601723686653856</v>
      </c>
      <c r="BF28" s="6">
        <f t="shared" si="14"/>
        <v>-1.5544086551673131</v>
      </c>
      <c r="BG28" s="6">
        <f t="shared" si="14"/>
        <v>-1.7382457092595693</v>
      </c>
      <c r="BH28" s="6">
        <f t="shared" si="14"/>
        <v>0.17916620862981417</v>
      </c>
      <c r="BI28" s="6">
        <f t="shared" si="9"/>
        <v>-1.9423398701684922</v>
      </c>
      <c r="BJ28" s="6">
        <f t="shared" si="9"/>
        <v>-1.930377656028158</v>
      </c>
      <c r="BK28" s="6">
        <f t="shared" si="15"/>
        <v>-0.44614244817577825</v>
      </c>
      <c r="BL28" s="6">
        <f t="shared" si="15"/>
        <v>-0.19245008972987526</v>
      </c>
      <c r="BM28" s="6">
        <f t="shared" si="15"/>
        <v>-0.34414965772374678</v>
      </c>
      <c r="BN28" s="6">
        <f t="shared" si="15"/>
        <v>-0.85327902058065852</v>
      </c>
      <c r="BO28" s="6">
        <f t="shared" si="15"/>
        <v>-0.80410859391096701</v>
      </c>
      <c r="BP28" s="6">
        <f t="shared" si="15"/>
        <v>-0.36769283680818904</v>
      </c>
      <c r="BQ28" s="6">
        <f t="shared" si="15"/>
        <v>0.22770079680100092</v>
      </c>
      <c r="BR28" s="6">
        <f t="shared" si="15"/>
        <v>-0.22763581031163252</v>
      </c>
      <c r="BS28" s="6">
        <f t="shared" si="15"/>
        <v>1.4124078488811784</v>
      </c>
      <c r="BT28" s="6">
        <v>0</v>
      </c>
      <c r="BU28" s="6">
        <f t="shared" si="11"/>
        <v>-0.19245008972987523</v>
      </c>
      <c r="BV28" s="6">
        <v>0</v>
      </c>
      <c r="BW28" s="6">
        <f t="shared" si="18"/>
        <v>0.13159542076704092</v>
      </c>
      <c r="BX28" s="6">
        <f t="shared" si="18"/>
        <v>-0.26360572853077741</v>
      </c>
      <c r="BY28" s="6">
        <f t="shared" si="18"/>
        <v>-1.2525900637811682</v>
      </c>
      <c r="BZ28" s="6">
        <f t="shared" si="17"/>
        <v>-1.1394641010318056</v>
      </c>
      <c r="CA28" s="6">
        <f t="shared" si="17"/>
        <v>-0.48181984127756161</v>
      </c>
      <c r="CB28" s="6">
        <f t="shared" si="17"/>
        <v>7.6297346522613566E-2</v>
      </c>
      <c r="CC28" s="6">
        <f t="shared" si="17"/>
        <v>-0.28275841728929912</v>
      </c>
      <c r="CD28" s="6">
        <f t="shared" si="17"/>
        <v>-0.6667522358796133</v>
      </c>
      <c r="CE28" s="6">
        <f t="shared" si="17"/>
        <v>-0.4223651309865486</v>
      </c>
      <c r="CF28" s="6">
        <f t="shared" si="17"/>
        <v>0.19616377238232624</v>
      </c>
      <c r="CG28" s="6">
        <f t="shared" si="17"/>
        <v>0.56651303018741994</v>
      </c>
      <c r="CH28" s="6">
        <f t="shared" si="17"/>
        <v>-0.19245008972987523</v>
      </c>
      <c r="CK28" s="6">
        <f t="shared" si="16"/>
        <v>0</v>
      </c>
      <c r="CL28" s="6">
        <f t="shared" si="16"/>
        <v>0</v>
      </c>
      <c r="CM28" s="6">
        <f t="shared" si="16"/>
        <v>0</v>
      </c>
      <c r="CN28" s="6">
        <f t="shared" si="16"/>
        <v>0</v>
      </c>
      <c r="CO28" s="6">
        <f t="shared" si="16"/>
        <v>0</v>
      </c>
      <c r="CP28" s="6">
        <f t="shared" si="16"/>
        <v>0</v>
      </c>
      <c r="CQ28" s="6">
        <f t="shared" si="16"/>
        <v>3.9318256327243257</v>
      </c>
      <c r="CR28" s="6">
        <f t="shared" si="16"/>
        <v>3.5263605246161616</v>
      </c>
      <c r="CS28" s="6">
        <f t="shared" si="16"/>
        <v>4.290459441148391</v>
      </c>
    </row>
    <row r="29" spans="1:97" x14ac:dyDescent="0.2">
      <c r="A29" s="12">
        <v>28</v>
      </c>
      <c r="B29" s="12" t="s">
        <v>81</v>
      </c>
      <c r="C29" s="2">
        <f>VLOOKUP(B29, '[1]1. persentasi stunting'!B:C, 2, FALSE)</f>
        <v>5.12</v>
      </c>
      <c r="D29" s="13">
        <f>VLOOKUP(B29, '[1]1. persentasi stunting'!B:D, 3, FALSE)</f>
        <v>5.08</v>
      </c>
      <c r="E29" s="13">
        <f>VLOOKUP(B29, '[1]1. persentasi stunting'!B:E, 4, FALSE)</f>
        <v>7.19</v>
      </c>
      <c r="F29" s="2">
        <f>VLOOKUP(B29, '[1]2.  WASTING DAN SEVERE W'!B:C, 2, FALSE)</f>
        <v>3.25</v>
      </c>
      <c r="G29" s="2">
        <f>VLOOKUP(B29, '[1]2.  WASTING DAN SEVERE W'!B:D, 3, FALSE)</f>
        <v>3.3</v>
      </c>
      <c r="H29" s="2">
        <f>VLOOKUP(B29, '[1]2.  WASTING DAN SEVERE W'!B:E, 4, FALSE)</f>
        <v>3.29</v>
      </c>
      <c r="I29" s="2">
        <f>VLOOKUP(B29, '[1]3. IMUNISASI DASAR LENGKAP'!B:C, 2, FALSE)</f>
        <v>97.6</v>
      </c>
      <c r="J29" s="2">
        <f>VLOOKUP(B29, '[1]3. IMUNISASI DASAR LENGKAP'!B:D, 3, FALSE)</f>
        <v>93.2</v>
      </c>
      <c r="K29" s="2">
        <f>VLOOKUP(B29, '[1]3. IMUNISASI DASAR LENGKAP'!B:E, 4, FALSE)</f>
        <v>92.2</v>
      </c>
      <c r="L29" s="2">
        <f>VLOOKUP(B29, '[1]4. GIZI BURUK'!B:C, 2, FALSE)</f>
        <v>99</v>
      </c>
      <c r="M29" s="2">
        <f>VLOOKUP(B29, '[1]4. GIZI BURUK'!B:D, 3, FALSE)</f>
        <v>90.73</v>
      </c>
      <c r="N29" s="2">
        <f>VLOOKUP(B29, '[1]4. GIZI BURUK'!B:E, 4, FALSE)</f>
        <v>94.86</v>
      </c>
      <c r="O29" s="2">
        <f>VLOOKUP(B29, '[1]5. KUNJUNGAN ANTENATAL K6'!B:C, 2, FALSE)</f>
        <v>80</v>
      </c>
      <c r="P29" s="2">
        <f>VLOOKUP(B29, '[1]5. KUNJUNGAN ANTENATAL K6'!B:D, 3, FALSE)</f>
        <v>89.5</v>
      </c>
      <c r="Q29" s="2">
        <f>VLOOKUP(B29, '[1]5. KUNJUNGAN ANTENATAL K6'!B:E, 4, FALSE)</f>
        <v>89.24</v>
      </c>
      <c r="R29" s="2">
        <f>VLOOKUP(B29, '[1]6. PF'!B:C, 2, FALSE)</f>
        <v>94.4</v>
      </c>
      <c r="S29" s="2">
        <f>VLOOKUP(B29, '[1]6. PF'!B:D, 3, FALSE)</f>
        <v>91.3</v>
      </c>
      <c r="T29" s="2">
        <f>VLOOKUP(B29, '[1]6. PF'!B:E, 4, FALSE)</f>
        <v>89.09</v>
      </c>
      <c r="U29" s="9">
        <f>IFERROR(VLOOKUP(B29, [1]HPAI!A:B, 2, FALSE), 0)</f>
        <v>10708</v>
      </c>
      <c r="V29" s="9">
        <f>IFERROR(VLOOKUP(B29, [1]HPAI!A:C, 3, FALSE), 0)</f>
        <v>1571</v>
      </c>
      <c r="W29" s="9">
        <f>IFERROR(VLOOKUP(B29, [1]HPAI!A:D, 4, FALSE), 0)</f>
        <v>542</v>
      </c>
      <c r="X29" s="9">
        <f>IFERROR(VLOOKUP(B29, [1]LSD!A:B, 2, FALSE), 0)</f>
        <v>589</v>
      </c>
      <c r="Y29" s="9">
        <f>IFERROR(VLOOKUP(B29, [1]LSD!A:C, 3, FALSE), 0)</f>
        <v>557</v>
      </c>
      <c r="Z29" s="9">
        <f>IFERROR(VLOOKUP(B29, [1]LSD!A:D, 4, FALSE), 0)</f>
        <v>89</v>
      </c>
      <c r="AA29" s="6">
        <f>IFERROR(VLOOKUP(B29, [1]PMK!A:B, 2, FALSE), 0)</f>
        <v>4244</v>
      </c>
      <c r="AB29" s="6">
        <f>IFERROR(VLOOKUP(B29, [1]PMK!A:C, 3, FALSE), 0)</f>
        <v>4265</v>
      </c>
      <c r="AC29" s="6">
        <f>IFERROR(VLOOKUP(B29, [1]PMK!A:D, 4, FALSE), 0)</f>
        <v>729</v>
      </c>
      <c r="AD29" s="6">
        <v>0</v>
      </c>
      <c r="AE29" s="6">
        <v>1</v>
      </c>
      <c r="AF29" s="6">
        <v>0</v>
      </c>
      <c r="AI29" s="6">
        <f>SUM(AI2:AI28)</f>
        <v>19328</v>
      </c>
      <c r="AJ29" s="6">
        <f>SUM(AJ2:AJ28)</f>
        <v>61423</v>
      </c>
      <c r="AK29" s="6">
        <f>AVERAGE(AK2:AK28)</f>
        <v>82.188888888888883</v>
      </c>
      <c r="AL29" s="6">
        <f>AVERAGE(AL2:AL28)</f>
        <v>114.15333333333336</v>
      </c>
      <c r="AM29" s="10">
        <f>SUM(AM2:AM28)</f>
        <v>12821</v>
      </c>
      <c r="AN29" s="10">
        <f t="shared" ref="AN29:AO29" si="19">SUM(AN2:AN28)</f>
        <v>1235</v>
      </c>
      <c r="AO29" s="10">
        <f t="shared" si="19"/>
        <v>9238</v>
      </c>
    </row>
    <row r="35" spans="2:3" x14ac:dyDescent="0.2">
      <c r="B35" s="6" t="s">
        <v>82</v>
      </c>
      <c r="C35" s="6" t="s">
        <v>83</v>
      </c>
    </row>
    <row r="36" spans="2:3" x14ac:dyDescent="0.2">
      <c r="B36" s="6" t="s">
        <v>84</v>
      </c>
      <c r="C36" s="6" t="s">
        <v>85</v>
      </c>
    </row>
    <row r="37" spans="2:3" x14ac:dyDescent="0.2">
      <c r="B37" s="6" t="s">
        <v>86</v>
      </c>
      <c r="C37" s="6" t="s">
        <v>87</v>
      </c>
    </row>
    <row r="38" spans="2:3" x14ac:dyDescent="0.2">
      <c r="B38" s="6" t="s">
        <v>88</v>
      </c>
      <c r="C38" s="6" t="s">
        <v>89</v>
      </c>
    </row>
    <row r="39" spans="2:3" x14ac:dyDescent="0.2">
      <c r="B39" s="6" t="s">
        <v>90</v>
      </c>
      <c r="C39" s="6" t="s">
        <v>91</v>
      </c>
    </row>
    <row r="40" spans="2:3" x14ac:dyDescent="0.2">
      <c r="B40" s="6" t="s">
        <v>92</v>
      </c>
      <c r="C40" s="6" t="s">
        <v>93</v>
      </c>
    </row>
    <row r="41" spans="2:3" x14ac:dyDescent="0.2">
      <c r="B41" s="6" t="s">
        <v>94</v>
      </c>
      <c r="C41" s="6" t="s">
        <v>95</v>
      </c>
    </row>
    <row r="42" spans="2:3" x14ac:dyDescent="0.2">
      <c r="B42" s="6" t="s">
        <v>96</v>
      </c>
      <c r="C42" s="6" t="s">
        <v>97</v>
      </c>
    </row>
    <row r="43" spans="2:3" x14ac:dyDescent="0.2">
      <c r="B43" s="6" t="s">
        <v>98</v>
      </c>
      <c r="C43" s="6" t="s">
        <v>99</v>
      </c>
    </row>
    <row r="44" spans="2:3" x14ac:dyDescent="0.2">
      <c r="B44" s="6" t="s">
        <v>100</v>
      </c>
      <c r="C44" s="6" t="s">
        <v>101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1067652-e594-4683-81e3-2cbf4d08314b}" enabled="1" method="Standard" siteId="{dd4b51f9-ee38-4f0d-87d3-0fcc190484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Vincentius Arca</dc:creator>
  <cp:lastModifiedBy>Vincentius Arca</cp:lastModifiedBy>
  <dcterms:created xsi:type="dcterms:W3CDTF">2026-08-14T06:13:56Z</dcterms:created>
  <dcterms:modified xsi:type="dcterms:W3CDTF">2026-08-14T06:14:32Z</dcterms:modified>
</cp:coreProperties>
</file>